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Musaiyab\Data Analysis\Excel\Project 2\"/>
    </mc:Choice>
  </mc:AlternateContent>
  <xr:revisionPtr revIDLastSave="0" documentId="13_ncr:1_{60BC192F-0391-4FEC-ADCC-0EDAA6A06AA8}" xr6:coauthVersionLast="47" xr6:coauthVersionMax="47" xr10:uidLastSave="{00000000-0000-0000-0000-000000000000}"/>
  <bookViews>
    <workbookView xWindow="-120" yWindow="-120" windowWidth="29040" windowHeight="15840" xr2:uid="{93D7A432-DDD4-49E7-91B3-3B9E037C400C}"/>
  </bookViews>
  <sheets>
    <sheet name="Dashboard" sheetId="4" r:id="rId1"/>
    <sheet name="yt_sports_channels_stats" sheetId="2" r:id="rId2"/>
    <sheet name="Pivots" sheetId="3" state="hidden" r:id="rId3"/>
  </sheets>
  <definedNames>
    <definedName name="ExternalData_1" localSheetId="1" hidden="1">yt_sports_channels_stats!$A$1:$I$526</definedName>
    <definedName name="Slicer_Generation">#N/A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6" i="4"/>
  <c r="K6" i="4" s="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O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643E27-2D85-4A33-9DDA-56402A716D82}" keepAlive="1" name="Query - yt_sports_channels_stats" description="Connection to the 'yt_sports_channels_stats' query in the workbook." type="5" refreshedVersion="8" background="1" saveData="1">
    <dbPr connection="Provider=Microsoft.Mashup.OleDb.1;Data Source=$Workbook$;Location=yt_sports_channels_stats;Extended Properties=&quot;&quot;" command="SELECT * FROM [yt_sports_channels_stats]"/>
  </connection>
</connections>
</file>

<file path=xl/sharedStrings.xml><?xml version="1.0" encoding="utf-8"?>
<sst xmlns="http://schemas.openxmlformats.org/spreadsheetml/2006/main" count="607" uniqueCount="523">
  <si>
    <t>channel_title</t>
  </si>
  <si>
    <t>Start Date</t>
  </si>
  <si>
    <t>video_count</t>
  </si>
  <si>
    <t>view_count</t>
  </si>
  <si>
    <t>subscriber_count</t>
  </si>
  <si>
    <t>T Sports</t>
  </si>
  <si>
    <t>A Sports</t>
  </si>
  <si>
    <t>Sky Sports Premier League</t>
  </si>
  <si>
    <t>Sports Digitale</t>
  </si>
  <si>
    <t>beIN SPORTS</t>
  </si>
  <si>
    <t>TNT Sports</t>
  </si>
  <si>
    <t>S Sport</t>
  </si>
  <si>
    <t>Kplus Sports</t>
  </si>
  <si>
    <t>Sri Lankan Sports TV</t>
  </si>
  <si>
    <t>Sports</t>
  </si>
  <si>
    <t>Sky Sports News</t>
  </si>
  <si>
    <t>Sky Sports Retro</t>
  </si>
  <si>
    <t>Optus Sport</t>
  </si>
  <si>
    <t>Sky Sports Boxing</t>
  </si>
  <si>
    <t>BBC Sport</t>
  </si>
  <si>
    <t>Yahoo! Sports</t>
  </si>
  <si>
    <t>Claro Sports</t>
  </si>
  <si>
    <t>CBS Sports</t>
  </si>
  <si>
    <t>Viaplay Sports UK</t>
  </si>
  <si>
    <t>TNT Sports Brasil</t>
  </si>
  <si>
    <t>TyC Sports</t>
  </si>
  <si>
    <t>Sports Team</t>
  </si>
  <si>
    <t>France tv sport</t>
  </si>
  <si>
    <t>Ziggo Sport</t>
  </si>
  <si>
    <t>DSports</t>
  </si>
  <si>
    <t>Sky Sport</t>
  </si>
  <si>
    <t>tvN SPORTS</t>
  </si>
  <si>
    <t>LALIGA EA SPORTS</t>
  </si>
  <si>
    <t>TNT Sports Boxing</t>
  </si>
  <si>
    <t>Syracuse Orange sports on syracuse.com</t>
  </si>
  <si>
    <t>Just Women's Sports</t>
  </si>
  <si>
    <t>EA SPORTS MADDEN NFL</t>
  </si>
  <si>
    <t>EA SPORTS NHL</t>
  </si>
  <si>
    <t>TNT Sports Argentina</t>
  </si>
  <si>
    <t>beIN SPORTS Türkiye</t>
  </si>
  <si>
    <t>365 Sports</t>
  </si>
  <si>
    <t>SPORTS UZ</t>
  </si>
  <si>
    <t>SHOWTIME Sports</t>
  </si>
  <si>
    <t>TNT Sports Chile</t>
  </si>
  <si>
    <t>CBC Sports</t>
  </si>
  <si>
    <t>Sports Central</t>
  </si>
  <si>
    <t>Virgin Media Sport</t>
  </si>
  <si>
    <t>GQ Sports</t>
  </si>
  <si>
    <t>Sky Sports Golf</t>
  </si>
  <si>
    <t>RTÉ Sport</t>
  </si>
  <si>
    <t>beIN SPORTS France</t>
  </si>
  <si>
    <t>GOLIM SPORTS</t>
  </si>
  <si>
    <t>GPB Sports</t>
  </si>
  <si>
    <t>SPORT BILD</t>
  </si>
  <si>
    <t>CBS Sports Golazo</t>
  </si>
  <si>
    <t>Sports Today</t>
  </si>
  <si>
    <t>UW Athletics</t>
  </si>
  <si>
    <t>NBC Sports Boston</t>
  </si>
  <si>
    <t>talkSPORT</t>
  </si>
  <si>
    <t>VICE Sports</t>
  </si>
  <si>
    <t>Star Sports</t>
  </si>
  <si>
    <t>Sports Dissected by COISKI</t>
  </si>
  <si>
    <t>Chat Sports</t>
  </si>
  <si>
    <t>ITV Sport</t>
  </si>
  <si>
    <t>WoodwardSports</t>
  </si>
  <si>
    <t>Chatterbox Sports | Cincinnati Sports Talk &amp; more</t>
  </si>
  <si>
    <t>BYU Sports Nation</t>
  </si>
  <si>
    <t>Stanford Athletics</t>
  </si>
  <si>
    <t>vIQtory Sports</t>
  </si>
  <si>
    <t>Win Sports</t>
  </si>
  <si>
    <t>Sky Sports Football</t>
  </si>
  <si>
    <t>Channel 4 Sport</t>
  </si>
  <si>
    <t>TNT Sports México</t>
  </si>
  <si>
    <t>Sports Spectrum</t>
  </si>
  <si>
    <t>Hurrdat Sports</t>
  </si>
  <si>
    <t>National Academy of Sports Medicine (NASM)</t>
  </si>
  <si>
    <t>Little Sports</t>
  </si>
  <si>
    <t>Locked On Sports Minnesota</t>
  </si>
  <si>
    <t>SBT Sports</t>
  </si>
  <si>
    <t>Sports Explained</t>
  </si>
  <si>
    <t>Savage Brick Sports</t>
  </si>
  <si>
    <t>Sky Sports Cricket</t>
  </si>
  <si>
    <t>Fubo Sports</t>
  </si>
  <si>
    <t>CBS Sports Golazo - Europe</t>
  </si>
  <si>
    <t>Rabbitholebd Sports</t>
  </si>
  <si>
    <t>Sports Gaming Universe</t>
  </si>
  <si>
    <t>JioCinema Sports</t>
  </si>
  <si>
    <t>beIN SPORTS Asia</t>
  </si>
  <si>
    <t>Religion of Sports</t>
  </si>
  <si>
    <t>Nonstop</t>
  </si>
  <si>
    <t>Midco Sports</t>
  </si>
  <si>
    <t>Marmita-sports</t>
  </si>
  <si>
    <t>Genius Sports</t>
  </si>
  <si>
    <t>Rakuten Sports</t>
  </si>
  <si>
    <t>River Falls SPORTS</t>
  </si>
  <si>
    <t>MAGENTA SPORT</t>
  </si>
  <si>
    <t>Seahawks Today by Chat Sports</t>
  </si>
  <si>
    <t>J SPORTS</t>
  </si>
  <si>
    <t>Bomber Sports</t>
  </si>
  <si>
    <t>JD Sports</t>
  </si>
  <si>
    <t>Digital 2 Sports</t>
  </si>
  <si>
    <t>Play Sports</t>
  </si>
  <si>
    <t>Sports United</t>
  </si>
  <si>
    <t>FOX SPORTS AUSTRALIA</t>
  </si>
  <si>
    <t>Kentucky Sports Radio</t>
  </si>
  <si>
    <t>Five Reasons Sports Network</t>
  </si>
  <si>
    <t>Ball State Sports Link</t>
  </si>
  <si>
    <t>beIN SPORTS USA</t>
  </si>
  <si>
    <t>A to Z Sports Dallas</t>
  </si>
  <si>
    <t>News24 Sports</t>
  </si>
  <si>
    <t>Locked On Sports Atlanta</t>
  </si>
  <si>
    <t>Matchroom Multi Sport</t>
  </si>
  <si>
    <t>Montana Sports</t>
  </si>
  <si>
    <t>Dibrou Sports Brasil</t>
  </si>
  <si>
    <t>440 Sports</t>
  </si>
  <si>
    <t>Sky Sport DE</t>
  </si>
  <si>
    <t>Sky Sports F1</t>
  </si>
  <si>
    <t>Sports Injury Physio</t>
  </si>
  <si>
    <t>Prasar Bharati Sports</t>
  </si>
  <si>
    <t>Sky Sports Darts</t>
  </si>
  <si>
    <t>The Sports Fury</t>
  </si>
  <si>
    <t>Jackson Krueger Sports</t>
  </si>
  <si>
    <t>The Action Network: Sports Betting Picks &amp; Tips</t>
  </si>
  <si>
    <t>Dolphins Today by Chat Sports</t>
  </si>
  <si>
    <t>SG Sports TV</t>
  </si>
  <si>
    <t>A to Z Sports Nashville</t>
  </si>
  <si>
    <t>World Sports</t>
  </si>
  <si>
    <t>EA SPORTS FC</t>
  </si>
  <si>
    <t>DR Sports</t>
  </si>
  <si>
    <t>SPORTS GAME MAXIMO</t>
  </si>
  <si>
    <t>UCLA Athletics</t>
  </si>
  <si>
    <t>Baseball Sports</t>
  </si>
  <si>
    <t>The Athletic FC Podcast</t>
  </si>
  <si>
    <t>Sports Card Investor</t>
  </si>
  <si>
    <t>Forever Sports</t>
  </si>
  <si>
    <t>Baddog Sports</t>
  </si>
  <si>
    <t>Chiefs Report by Chat Sports</t>
  </si>
  <si>
    <t>EA SPORTS UFC</t>
  </si>
  <si>
    <t>Whistle</t>
  </si>
  <si>
    <t>القنوات الرياضية السعودية Official Saudi Sports TV</t>
  </si>
  <si>
    <t>Audacy Sports</t>
  </si>
  <si>
    <t>G's Sports Central</t>
  </si>
  <si>
    <t>LI Sports Network</t>
  </si>
  <si>
    <t>JAKIB Sports</t>
  </si>
  <si>
    <t>Zaleski Sports</t>
  </si>
  <si>
    <t>Sports Club</t>
  </si>
  <si>
    <t>Lions Talk by Chat Sports</t>
  </si>
  <si>
    <t>Remember Sports</t>
  </si>
  <si>
    <t>Hoggard Sports</t>
  </si>
  <si>
    <t>NEXT SPORTS</t>
  </si>
  <si>
    <t>Vietnam Sports News</t>
  </si>
  <si>
    <t>GP Sports Cards</t>
  </si>
  <si>
    <t>BTB SPORTS OFICIAL</t>
  </si>
  <si>
    <t>EA SPORTS FC ONLINE THAILAND</t>
  </si>
  <si>
    <t>Barstool Sports</t>
  </si>
  <si>
    <t>EA SPORTS FC Pro</t>
  </si>
  <si>
    <t>AYS Sports</t>
  </si>
  <si>
    <t>Sony Sports Network</t>
  </si>
  <si>
    <t>Helen Yee Sports</t>
  </si>
  <si>
    <t>Sports Direct</t>
  </si>
  <si>
    <t>Ultimate Cleveland Sports Show</t>
  </si>
  <si>
    <t>Sky Sports</t>
  </si>
  <si>
    <t>49ers Report by Chat Sports</t>
  </si>
  <si>
    <t>Table Rock Sports</t>
  </si>
  <si>
    <t>Flow Sport Club</t>
  </si>
  <si>
    <t>Game On Sports</t>
  </si>
  <si>
    <t>KMA Sports</t>
  </si>
  <si>
    <t>X Sports Network</t>
  </si>
  <si>
    <t>SCOTT Sports</t>
  </si>
  <si>
    <t>Supreme Sports</t>
  </si>
  <si>
    <t>International Federation of Sport Climbing</t>
  </si>
  <si>
    <t>TOTAL SPORTS</t>
  </si>
  <si>
    <t>Iqbal Sports</t>
  </si>
  <si>
    <t>Clutch Sports Media</t>
  </si>
  <si>
    <t>Vmax Sports</t>
  </si>
  <si>
    <t>Oaktree Sports</t>
  </si>
  <si>
    <t>Winnipeg Sports Talk</t>
  </si>
  <si>
    <t>Wide World of Sports</t>
  </si>
  <si>
    <t>Best Cable Sports Canal 6 - Oficial</t>
  </si>
  <si>
    <t>Sports &amp; Entertainment</t>
  </si>
  <si>
    <t>Sports AAB</t>
  </si>
  <si>
    <t>Sky Sport Next</t>
  </si>
  <si>
    <t>NBC Sports Bay Area &amp; California</t>
  </si>
  <si>
    <t>Browns Report by Chat Sports</t>
  </si>
  <si>
    <t>7070Sports.</t>
  </si>
  <si>
    <t>Giants Now by Chat Sports</t>
  </si>
  <si>
    <t>BFBS Sports Show</t>
  </si>
  <si>
    <t>SL SPORTS</t>
  </si>
  <si>
    <t>Roo Sports</t>
  </si>
  <si>
    <t>UAM Sports</t>
  </si>
  <si>
    <t>Outdoor sports in srilanka</t>
  </si>
  <si>
    <t>Sport Thailand</t>
  </si>
  <si>
    <t>FOX Sports</t>
  </si>
  <si>
    <t>DNVR Sports</t>
  </si>
  <si>
    <t>PPTV SPORTS</t>
  </si>
  <si>
    <t>SPORTS ADS</t>
  </si>
  <si>
    <t>Echoboom Sports</t>
  </si>
  <si>
    <t>Virginia Sports TV</t>
  </si>
  <si>
    <t>Sports With Harshana</t>
  </si>
  <si>
    <t>NBC Sports Philadelphia</t>
  </si>
  <si>
    <t>CBS Sports Radio</t>
  </si>
  <si>
    <t>DAN Sports</t>
  </si>
  <si>
    <t>ADT SPORTS</t>
  </si>
  <si>
    <t>NBC Sports</t>
  </si>
  <si>
    <t>SaddleRock Sports Network</t>
  </si>
  <si>
    <t>Quang Tùng Sports</t>
  </si>
  <si>
    <t>Raiders Report by Chat Sports</t>
  </si>
  <si>
    <t>Sports Wars</t>
  </si>
  <si>
    <t>Amazon Prime Video Sport</t>
  </si>
  <si>
    <t>DP Education Sports</t>
  </si>
  <si>
    <t>NTV Sports</t>
  </si>
  <si>
    <t>J SPORTS 野球【公式】</t>
  </si>
  <si>
    <t>PHNX Sports</t>
  </si>
  <si>
    <t>SOMOY SPORTS</t>
  </si>
  <si>
    <t>ThatsGoodSports</t>
  </si>
  <si>
    <t>Deník Sport</t>
  </si>
  <si>
    <t>Sactown Sports 1140</t>
  </si>
  <si>
    <t>SPU Sports</t>
  </si>
  <si>
    <t>World Athletics</t>
  </si>
  <si>
    <t>Driving Sports TV</t>
  </si>
  <si>
    <t>USA TODAY Sports</t>
  </si>
  <si>
    <t>Ada Derana Sports</t>
  </si>
  <si>
    <t>Daily Sports With Rahul</t>
  </si>
  <si>
    <t>TNL Sports</t>
  </si>
  <si>
    <t>Sports Yaari</t>
  </si>
  <si>
    <t>ABS-CBN Sports</t>
  </si>
  <si>
    <t>Sports Cards Live</t>
  </si>
  <si>
    <t>Jim Riley | BALLCAP Sports</t>
  </si>
  <si>
    <t>Knicks Now by Chat Sports</t>
  </si>
  <si>
    <t>Menace 2 Sports</t>
  </si>
  <si>
    <t>Virginia Tech Athletics</t>
  </si>
  <si>
    <t>A Plus Sports</t>
  </si>
  <si>
    <t>Jersey Sports Zone</t>
  </si>
  <si>
    <t>Cowboys Report by Chat Sports</t>
  </si>
  <si>
    <t>519 Sports Online</t>
  </si>
  <si>
    <t>H&amp;R Sports</t>
  </si>
  <si>
    <t>Bears Now by Chat Sports</t>
  </si>
  <si>
    <t>SPORTS  DAGAYA</t>
  </si>
  <si>
    <t>Athletic Interest</t>
  </si>
  <si>
    <t>Locked On Sports Today</t>
  </si>
  <si>
    <t>Stark Raving Sports</t>
  </si>
  <si>
    <t>Sigma Sports</t>
  </si>
  <si>
    <t>SPORTS TO LIFE</t>
  </si>
  <si>
    <t>Steelers Talk by Chat Sports</t>
  </si>
  <si>
    <t>Sharpe Sports</t>
  </si>
  <si>
    <t>Sports Show</t>
  </si>
  <si>
    <t>Racing Lanka Sports</t>
  </si>
  <si>
    <t>Sports BB</t>
  </si>
  <si>
    <t>Bob Does Sports</t>
  </si>
  <si>
    <t>Refugio Sports Network</t>
  </si>
  <si>
    <t>Motor Sports Network</t>
  </si>
  <si>
    <t>Señal Sports</t>
  </si>
  <si>
    <t>BBN SPORTS</t>
  </si>
  <si>
    <t>The Sports Breakdown</t>
  </si>
  <si>
    <t>Hightop Sports</t>
  </si>
  <si>
    <t>Haritha Sports</t>
  </si>
  <si>
    <t>Shai Sports</t>
  </si>
  <si>
    <t>Action Sports Jax</t>
  </si>
  <si>
    <t>Bookit Sports</t>
  </si>
  <si>
    <t>One Sports</t>
  </si>
  <si>
    <t>Spacequake Sports</t>
  </si>
  <si>
    <t>Ceylon Sports</t>
  </si>
  <si>
    <t>Sports Lanka</t>
  </si>
  <si>
    <t>Sports Now</t>
  </si>
  <si>
    <t>Denver Sports</t>
  </si>
  <si>
    <t>Trending Sports தமிழ்</t>
  </si>
  <si>
    <t>York Sports Network</t>
  </si>
  <si>
    <t>Athiradi sports</t>
  </si>
  <si>
    <t>Run Pure Sports | We Build Winners. DFS &amp; Bets</t>
  </si>
  <si>
    <t>UNFAIR SPORTS</t>
  </si>
  <si>
    <t>LION SPORTS</t>
  </si>
  <si>
    <t>Mostly Sports With Mark Titus and Brandon Walker</t>
  </si>
  <si>
    <t>Law Nation Sports</t>
  </si>
  <si>
    <t>Powcast Sports</t>
  </si>
  <si>
    <t>Cric Smash Sports</t>
  </si>
  <si>
    <t>In &amp; Out Sports</t>
  </si>
  <si>
    <t>The Basement Sports Network</t>
  </si>
  <si>
    <t>CM Sports</t>
  </si>
  <si>
    <t>Ten 10 Sports</t>
  </si>
  <si>
    <t>Natty State Sports</t>
  </si>
  <si>
    <t>LANKA SPORTS</t>
  </si>
  <si>
    <t>Ufit sports Academy</t>
  </si>
  <si>
    <t>Baseball Hockey Sports Crew - Topic</t>
  </si>
  <si>
    <t>BBi Global Sports</t>
  </si>
  <si>
    <t>Top Sports Debate</t>
  </si>
  <si>
    <t>iiN SPORTS LIVE</t>
  </si>
  <si>
    <t>K Sports HD</t>
  </si>
  <si>
    <t>Elle Sri Lankan Sport</t>
  </si>
  <si>
    <t>Asenso Sports Channel Official</t>
  </si>
  <si>
    <t>DJ Sports live</t>
  </si>
  <si>
    <t>Reezonn Sports Network</t>
  </si>
  <si>
    <t>BROTHERS SPORTS LIVE</t>
  </si>
  <si>
    <t>Dad Sports - Topic</t>
  </si>
  <si>
    <t>Blue Blood Sports TV</t>
  </si>
  <si>
    <t>Sports Coach - Topic</t>
  </si>
  <si>
    <t>Sports with Dila</t>
  </si>
  <si>
    <t>Dika Sports</t>
  </si>
  <si>
    <t>The Sports Manager LK</t>
  </si>
  <si>
    <t>Traditional Village Sports</t>
  </si>
  <si>
    <t>Sports 4X4</t>
  </si>
  <si>
    <t>Urwagasabo Sports</t>
  </si>
  <si>
    <t>RJ Duke Sports</t>
  </si>
  <si>
    <t>Sports Bucket</t>
  </si>
  <si>
    <t>Sports Communicator</t>
  </si>
  <si>
    <t>WORLD SPORT CRICKET</t>
  </si>
  <si>
    <t>Gramin Sports Live</t>
  </si>
  <si>
    <t>The Athletic Sports Band - Topic</t>
  </si>
  <si>
    <t>ALL SPORTS uniT</t>
  </si>
  <si>
    <t>CHE Sports</t>
  </si>
  <si>
    <t>Sports Zoom</t>
  </si>
  <si>
    <t>SPORTS VIEW</t>
  </si>
  <si>
    <t>contortion and sports for life</t>
  </si>
  <si>
    <t>JANA SPORTS</t>
  </si>
  <si>
    <t>sports life</t>
  </si>
  <si>
    <t>Sports-i</t>
  </si>
  <si>
    <t>YOU SPORTS</t>
  </si>
  <si>
    <t>Sports Vibes TV1</t>
  </si>
  <si>
    <t>NAMANA SPORTS</t>
  </si>
  <si>
    <t>Sports Hub</t>
  </si>
  <si>
    <t>Wickramagalle Sports Academy</t>
  </si>
  <si>
    <t>Sports World</t>
  </si>
  <si>
    <t>Team of Sports Science TOSS</t>
  </si>
  <si>
    <t>S sports</t>
  </si>
  <si>
    <t>Sports Car With Saranga</t>
  </si>
  <si>
    <t>STYP Sports</t>
  </si>
  <si>
    <t>Yankee Sports Zone</t>
  </si>
  <si>
    <t>PA Sports - Topic</t>
  </si>
  <si>
    <t>Panini Sports Academy (Fußball) - Topic</t>
  </si>
  <si>
    <t>Lead Sports</t>
  </si>
  <si>
    <t>RK Sports Kingdom</t>
  </si>
  <si>
    <t>SEPN Sports</t>
  </si>
  <si>
    <t>IL SPORTS</t>
  </si>
  <si>
    <t>Sri Lanka Sports</t>
  </si>
  <si>
    <t>sports. - Topic</t>
  </si>
  <si>
    <t>Sports - Topic</t>
  </si>
  <si>
    <t>Soft Sports - Topic</t>
  </si>
  <si>
    <t>HD Sports</t>
  </si>
  <si>
    <t>SLK CRICKET SPORTS</t>
  </si>
  <si>
    <t>SL Games &amp; Sports</t>
  </si>
  <si>
    <t>Dan Sports - Topic</t>
  </si>
  <si>
    <t>Sports home</t>
  </si>
  <si>
    <t>Remember Sports - Topic</t>
  </si>
  <si>
    <t>brother sports - Topic</t>
  </si>
  <si>
    <t>Sports Saga</t>
  </si>
  <si>
    <t>MD SPORTS</t>
  </si>
  <si>
    <t>SL TECH LALLNS SPORTS</t>
  </si>
  <si>
    <t>AR Sports</t>
  </si>
  <si>
    <t>Sports X</t>
  </si>
  <si>
    <t>vhs sports - Topic</t>
  </si>
  <si>
    <t>Gaja Sports</t>
  </si>
  <si>
    <t>SPORTS STUDIO+</t>
  </si>
  <si>
    <t>UD Sports</t>
  </si>
  <si>
    <t>Sports Ground</t>
  </si>
  <si>
    <t>Sports Ringtones, World Cup Soccer, Football &amp; More Comedy Messages - Topic</t>
  </si>
  <si>
    <t>Good Sport - Topic</t>
  </si>
  <si>
    <t>SONYHDHL-Sports</t>
  </si>
  <si>
    <t>DON SPORTS GAMING ONLIVE</t>
  </si>
  <si>
    <t>SPORTS SHORTS</t>
  </si>
  <si>
    <t>Tten sports</t>
  </si>
  <si>
    <t>Sports Scope 360</t>
  </si>
  <si>
    <t>Slow Sports - Topic</t>
  </si>
  <si>
    <t>Sports &amp; Music - Topic</t>
  </si>
  <si>
    <t>El Negro Sports Tv - Topic</t>
  </si>
  <si>
    <t>Sports for Kin - Topic</t>
  </si>
  <si>
    <t>The Sports - Topic</t>
  </si>
  <si>
    <t>The Big Picture: Sports in Society Podcast - Topic</t>
  </si>
  <si>
    <t>We The Sports - Topic</t>
  </si>
  <si>
    <t>Sports Hits</t>
  </si>
  <si>
    <t>Sports Via YT</t>
  </si>
  <si>
    <t>Sports Shorts X</t>
  </si>
  <si>
    <t>V SPORTS</t>
  </si>
  <si>
    <t>Sports.lk(ස්පෝට්ස්)</t>
  </si>
  <si>
    <t>Sports Editz</t>
  </si>
  <si>
    <t>Sports Dreams - Topic</t>
  </si>
  <si>
    <t>ria sports</t>
  </si>
  <si>
    <t>Sports? Sports. - Topic</t>
  </si>
  <si>
    <t>Sports 1st</t>
  </si>
  <si>
    <t>Rabbaniyyah Sports Club</t>
  </si>
  <si>
    <t>sports editz</t>
  </si>
  <si>
    <t>SPORTS - Topic</t>
  </si>
  <si>
    <t>Alpaca Sports - Topic</t>
  </si>
  <si>
    <t>Sports Tamil</t>
  </si>
  <si>
    <t>sports.lk07</t>
  </si>
  <si>
    <t>RAGEL MOTO SPORTS</t>
  </si>
  <si>
    <t>sports-D site</t>
  </si>
  <si>
    <t>Games &amp; Sports</t>
  </si>
  <si>
    <t>Sri Sports House</t>
  </si>
  <si>
    <t>Sports Plus</t>
  </si>
  <si>
    <t>Estadat Sports - Topic</t>
  </si>
  <si>
    <t>YT Sports</t>
  </si>
  <si>
    <t>KNT Ekamuthu Sports Club</t>
  </si>
  <si>
    <t>Bad At Sports - Topic</t>
  </si>
  <si>
    <t>Sports Analyst</t>
  </si>
  <si>
    <t>Vamos Sports</t>
  </si>
  <si>
    <t>Athletics - Topic</t>
  </si>
  <si>
    <t>JA Sports channel</t>
  </si>
  <si>
    <t>The Sports Geek</t>
  </si>
  <si>
    <t>Sports Bro</t>
  </si>
  <si>
    <t>Sports Nis</t>
  </si>
  <si>
    <t>Sports Day - Topic</t>
  </si>
  <si>
    <t>sk sports edit#😎</t>
  </si>
  <si>
    <t>PERADENIYA SPORTS CLUB</t>
  </si>
  <si>
    <t>World Sports Highlights</t>
  </si>
  <si>
    <t>US Sports YT</t>
  </si>
  <si>
    <t>Sports Collective - Topic</t>
  </si>
  <si>
    <t>Sport Power - Topic</t>
  </si>
  <si>
    <t>SL Sports Cafe</t>
  </si>
  <si>
    <t>Health &amp; Sports</t>
  </si>
  <si>
    <t>YR Music 🎶 and sports ⚽tv</t>
  </si>
  <si>
    <t>Cricket &amp; Sports</t>
  </si>
  <si>
    <t>sports car, jeep, bike</t>
  </si>
  <si>
    <t>Pure Sport - Topic</t>
  </si>
  <si>
    <t>GGA SPORTS</t>
  </si>
  <si>
    <t>wow Sports photography</t>
  </si>
  <si>
    <t>sports denki department - Topic</t>
  </si>
  <si>
    <t>AB Sports HD</t>
  </si>
  <si>
    <t>Sports Here</t>
  </si>
  <si>
    <t>wold sports</t>
  </si>
  <si>
    <t>Royal Sports Club</t>
  </si>
  <si>
    <t>CR Sports 46</t>
  </si>
  <si>
    <t>O.M.V Sports</t>
  </si>
  <si>
    <t>Tik sports</t>
  </si>
  <si>
    <t>Sports Bra - Topic</t>
  </si>
  <si>
    <t>Sports Stars Sports Club (SSSC)</t>
  </si>
  <si>
    <t>Le Sport - Topic</t>
  </si>
  <si>
    <t>sports dayya</t>
  </si>
  <si>
    <t>Sports Tv</t>
  </si>
  <si>
    <t>HM Sports</t>
  </si>
  <si>
    <t>MD SPORTS🏏</t>
  </si>
  <si>
    <t>sports@#short</t>
  </si>
  <si>
    <t>SN SPORTS</t>
  </si>
  <si>
    <t>PR SPORTS</t>
  </si>
  <si>
    <t>Blink Of Sports</t>
  </si>
  <si>
    <t>G&amp;N Sports 1st</t>
  </si>
  <si>
    <t>Xeagle Sports</t>
  </si>
  <si>
    <t>Wheelchair Sports Camp - Topic</t>
  </si>
  <si>
    <t>KGK Sports</t>
  </si>
  <si>
    <t>Stereo Sport - Topic</t>
  </si>
  <si>
    <t>SPORTS UPDATES</t>
  </si>
  <si>
    <t>Sports pastime</t>
  </si>
  <si>
    <t>Sports Film Fest - Topic</t>
  </si>
  <si>
    <t>Poor Sports. - Topic</t>
  </si>
  <si>
    <t>NIC Sports</t>
  </si>
  <si>
    <t>CHAYO Sports</t>
  </si>
  <si>
    <t>Old Sport - Topic</t>
  </si>
  <si>
    <t>fire sports</t>
  </si>
  <si>
    <t>SPORT CLUB</t>
  </si>
  <si>
    <t>Sports Reference - Topic</t>
  </si>
  <si>
    <t>FastTrack Sports</t>
  </si>
  <si>
    <t>sports j</t>
  </si>
  <si>
    <t>Kibi Sports - Topic</t>
  </si>
  <si>
    <t>I.K. Dairo &amp; His Blues Sport Band - Topic</t>
  </si>
  <si>
    <t>Cordula Sport - Topic</t>
  </si>
  <si>
    <t>unit sports</t>
  </si>
  <si>
    <t>Julinho Sporting FC - Topic</t>
  </si>
  <si>
    <t>Cee Sport Big Ceeza - Topic</t>
  </si>
  <si>
    <t>World Sports Shorts</t>
  </si>
  <si>
    <t>JM SPORTS</t>
  </si>
  <si>
    <t>Sports Runner</t>
  </si>
  <si>
    <t>Sports Boyfriend - Topic</t>
  </si>
  <si>
    <t>Watha Sports</t>
  </si>
  <si>
    <t>Sports First</t>
  </si>
  <si>
    <t>R Sports network</t>
  </si>
  <si>
    <t>SPORTS 359'</t>
  </si>
  <si>
    <t>Sports Feats</t>
  </si>
  <si>
    <t>SPORTS GAMING</t>
  </si>
  <si>
    <t>Sports Pavilion</t>
  </si>
  <si>
    <t>SHAKTHI SPORTS CLUB</t>
  </si>
  <si>
    <t>Sports Plazz</t>
  </si>
  <si>
    <t>Sports 365 Live Chanel</t>
  </si>
  <si>
    <t>A Sports Network</t>
  </si>
  <si>
    <t>Sports x</t>
  </si>
  <si>
    <t>TC sports club</t>
  </si>
  <si>
    <t>Sports Network</t>
  </si>
  <si>
    <t>TVP Sport</t>
  </si>
  <si>
    <t>動滋Sports</t>
  </si>
  <si>
    <t>CHGO Sports</t>
  </si>
  <si>
    <t>OneNimit Sports Tamil</t>
  </si>
  <si>
    <t>日テレスポーツ【公式】</t>
  </si>
  <si>
    <t>Indiana Sports Beat Radio with Jim Coyle</t>
  </si>
  <si>
    <t>නව වාසනා - Sports Team</t>
  </si>
  <si>
    <t>ARV Loshan Sports</t>
  </si>
  <si>
    <t>Sports Gaming</t>
  </si>
  <si>
    <t>Lifestyle Sports</t>
  </si>
  <si>
    <t>Sports with Kaveesha</t>
  </si>
  <si>
    <t>sports</t>
  </si>
  <si>
    <t>Entertainment &amp; Sports &amp; World &amp; Animals</t>
  </si>
  <si>
    <t>Sports Quiz</t>
  </si>
  <si>
    <t>TOP SPORTS LK</t>
  </si>
  <si>
    <t>Go Sports</t>
  </si>
  <si>
    <t>KLUTCH Sports</t>
  </si>
  <si>
    <t>NTR SPORTS</t>
  </si>
  <si>
    <t>Funny Tv Sports</t>
  </si>
  <si>
    <t>🥀Sports Time🥀</t>
  </si>
  <si>
    <t>Sports with - සඳා</t>
  </si>
  <si>
    <t>💀  •SPORTS• ⚽️</t>
  </si>
  <si>
    <t>sports edition</t>
  </si>
  <si>
    <t>HD sports</t>
  </si>
  <si>
    <t>ALL SPORTS</t>
  </si>
  <si>
    <t>MRH Sports</t>
  </si>
  <si>
    <t>Sports club</t>
  </si>
  <si>
    <t>Generation</t>
  </si>
  <si>
    <t>Year</t>
  </si>
  <si>
    <t>Grand Total</t>
  </si>
  <si>
    <t>Total Videos</t>
  </si>
  <si>
    <t>Subscribers</t>
  </si>
  <si>
    <t>New Gen</t>
  </si>
  <si>
    <t>Mid Gen</t>
  </si>
  <si>
    <t>Youtube Channel Stats Dashboard</t>
  </si>
  <si>
    <t>Old Gen</t>
  </si>
  <si>
    <t>Avg Views Per Video</t>
  </si>
  <si>
    <t>Average Subscribers per Video count</t>
  </si>
  <si>
    <t>Channel Name</t>
  </si>
  <si>
    <t>Channels</t>
  </si>
  <si>
    <t>Channels Created</t>
  </si>
  <si>
    <t>Subscriber Count</t>
  </si>
  <si>
    <t xml:space="preserve"> View count</t>
  </si>
  <si>
    <t>Channel</t>
  </si>
  <si>
    <t>Views</t>
  </si>
  <si>
    <t>Views/Video</t>
  </si>
  <si>
    <t>Subcribers/Views</t>
  </si>
  <si>
    <t>Average of Subcribers/Views</t>
  </si>
  <si>
    <t>Average of Views/Video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</si>
</sst>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26"/>
      <color theme="1"/>
      <name val="Aptos Narrow"/>
      <family val="2"/>
      <scheme val="minor"/>
    </font>
    <font>
      <b/>
      <sz val="16"/>
      <color theme="1"/>
      <name val="Aptos Narrow"/>
      <family val="2"/>
      <scheme val="minor"/>
    </font>
    <font>
      <sz val="16"/>
      <color theme="1"/>
      <name val="Aptos Narrow"/>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2" fillId="3" borderId="0" xfId="0" applyFont="1" applyFill="1" applyAlignment="1">
      <alignment horizontal="center"/>
    </xf>
    <xf numFmtId="0" fontId="3" fillId="0" borderId="0" xfId="0" applyFont="1" applyAlignment="1">
      <alignment horizontal="center"/>
    </xf>
    <xf numFmtId="2" fontId="3" fillId="0" borderId="0" xfId="0" applyNumberFormat="1" applyFont="1" applyAlignment="1">
      <alignment horizontal="center"/>
    </xf>
    <xf numFmtId="0" fontId="1" fillId="2" borderId="0" xfId="0" applyFont="1" applyFill="1" applyAlignment="1">
      <alignment horizontal="center" vertical="center"/>
    </xf>
    <xf numFmtId="0" fontId="0" fillId="0" borderId="0" xfId="0" applyNumberFormat="1"/>
  </cellXfs>
  <cellStyles count="1">
    <cellStyle name="Normal" xfId="0" builtinId="0"/>
  </cellStyles>
  <dxfs count="5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
    </dxf>
    <dxf>
      <numFmt numFmtId="2" formatCode="0.00"/>
    </dxf>
    <dxf>
      <numFmt numFmtId="2" formatCode="0.00"/>
    </dxf>
    <dxf>
      <numFmt numFmtId="165" formatCode="0.0"/>
    </dxf>
    <dxf>
      <numFmt numFmtId="2" formatCode="0.00"/>
    </dxf>
    <dxf>
      <numFmt numFmtId="164" formatCode="0.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9" formatCode="dd/mm/yyyy"/>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chivo Black" pitchFamily="2" charset="0"/>
                <a:cs typeface="Archivo Black" pitchFamily="2" charset="0"/>
              </a:rPr>
              <a:t>Channels</a:t>
            </a:r>
            <a:r>
              <a:rPr lang="en-US" sz="1600" baseline="0">
                <a:latin typeface="Archivo Black" pitchFamily="2" charset="0"/>
                <a:cs typeface="Archivo Black" pitchFamily="2" charset="0"/>
              </a:rPr>
              <a:t> Generation Wise</a:t>
            </a:r>
            <a:endParaRPr lang="en-US" sz="1600">
              <a:latin typeface="Archivo Black" pitchFamily="2" charset="0"/>
              <a:cs typeface="Archivo Black"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pivotFmt>
      <c:pivotFmt>
        <c:idx val="5"/>
        <c:spPr>
          <a:solidFill>
            <a:srgbClr val="00B050"/>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pivotFmt>
      <c:pivotFmt>
        <c:idx val="9"/>
        <c:spPr>
          <a:solidFill>
            <a:srgbClr val="00B050"/>
          </a:solidFill>
          <a:ln w="19050">
            <a:solidFill>
              <a:schemeClr val="lt1"/>
            </a:solidFill>
          </a:ln>
          <a:effectLst/>
        </c:spPr>
      </c:pivotFmt>
      <c:pivotFmt>
        <c:idx val="10"/>
        <c:spPr>
          <a:solidFill>
            <a:srgbClr val="FF0000"/>
          </a:solidFill>
          <a:ln w="19050">
            <a:solidFill>
              <a:schemeClr val="lt1"/>
            </a:solidFill>
          </a:ln>
          <a:effectLst/>
        </c:spPr>
      </c:pivotFmt>
    </c:pivotFmts>
    <c:plotArea>
      <c:layout/>
      <c:pieChart>
        <c:varyColors val="1"/>
        <c:ser>
          <c:idx val="0"/>
          <c:order val="0"/>
          <c:tx>
            <c:strRef>
              <c:f>Pivots!$B$23</c:f>
              <c:strCache>
                <c:ptCount val="1"/>
                <c:pt idx="0">
                  <c:v>Total</c:v>
                </c:pt>
              </c:strCache>
            </c:strRef>
          </c:tx>
          <c:spPr>
            <a:solidFill>
              <a:srgbClr val="00B05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ACEB-48A9-8BB5-A0A69B5B0BD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ACEB-48A9-8BB5-A0A69B5B0BDB}"/>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ACEB-48A9-8BB5-A0A69B5B0B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Pivots!$A$24:$A$27</c:f>
              <c:strCache>
                <c:ptCount val="3"/>
                <c:pt idx="0">
                  <c:v>Mid Gen</c:v>
                </c:pt>
                <c:pt idx="1">
                  <c:v>New Gen</c:v>
                </c:pt>
                <c:pt idx="2">
                  <c:v>Old Gen</c:v>
                </c:pt>
              </c:strCache>
            </c:strRef>
          </c:cat>
          <c:val>
            <c:numRef>
              <c:f>Pivots!$B$24:$B$27</c:f>
              <c:numCache>
                <c:formatCode>General</c:formatCode>
                <c:ptCount val="3"/>
                <c:pt idx="0">
                  <c:v>213</c:v>
                </c:pt>
                <c:pt idx="1">
                  <c:v>282</c:v>
                </c:pt>
                <c:pt idx="2">
                  <c:v>30</c:v>
                </c:pt>
              </c:numCache>
            </c:numRef>
          </c:val>
          <c:extLst>
            <c:ext xmlns:c16="http://schemas.microsoft.com/office/drawing/2014/chart" uri="{C3380CC4-5D6E-409C-BE32-E72D297353CC}">
              <c16:uniqueId val="{00000006-ACEB-48A9-8BB5-A0A69B5B0B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chivo Black" pitchFamily="2" charset="0"/>
                <a:cs typeface="Archivo Black" pitchFamily="2" charset="0"/>
              </a:rPr>
              <a:t>Average Subscriber</a:t>
            </a:r>
            <a:r>
              <a:rPr lang="en-US" sz="1600" baseline="0">
                <a:latin typeface="Archivo Black" pitchFamily="2" charset="0"/>
                <a:cs typeface="Archivo Black" pitchFamily="2" charset="0"/>
              </a:rPr>
              <a:t>s Generation Wise</a:t>
            </a:r>
            <a:endParaRPr lang="en-US" sz="1600">
              <a:latin typeface="Archivo Black" pitchFamily="2" charset="0"/>
              <a:cs typeface="Archivo Black"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Pivots!$B$37</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Pivots!$A$38:$A$40</c:f>
              <c:strCache>
                <c:ptCount val="3"/>
                <c:pt idx="0">
                  <c:v>Mid Gen</c:v>
                </c:pt>
                <c:pt idx="1">
                  <c:v>New Gen</c:v>
                </c:pt>
                <c:pt idx="2">
                  <c:v>Old Gen</c:v>
                </c:pt>
              </c:strCache>
            </c:strRef>
          </c:cat>
          <c:val>
            <c:numRef>
              <c:f>Pivots!$B$38:$B$40</c:f>
              <c:numCache>
                <c:formatCode>0.00</c:formatCode>
                <c:ptCount val="3"/>
                <c:pt idx="0">
                  <c:v>532688.74647887319</c:v>
                </c:pt>
                <c:pt idx="1">
                  <c:v>64522.482269503547</c:v>
                </c:pt>
                <c:pt idx="2">
                  <c:v>1661139</c:v>
                </c:pt>
              </c:numCache>
            </c:numRef>
          </c:val>
          <c:extLst>
            <c:ext xmlns:c16="http://schemas.microsoft.com/office/drawing/2014/chart" uri="{C3380CC4-5D6E-409C-BE32-E72D297353CC}">
              <c16:uniqueId val="{00000000-B89C-435B-8157-AC7146322A3A}"/>
            </c:ext>
          </c:extLst>
        </c:ser>
        <c:dLbls>
          <c:showLegendKey val="0"/>
          <c:showVal val="0"/>
          <c:showCatName val="0"/>
          <c:showSerName val="0"/>
          <c:showPercent val="0"/>
          <c:showBubbleSize val="0"/>
        </c:dLbls>
        <c:gapWidth val="219"/>
        <c:overlap val="-27"/>
        <c:axId val="1975585664"/>
        <c:axId val="1975586144"/>
      </c:barChart>
      <c:catAx>
        <c:axId val="1975585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solidFill>
                      <a:schemeClr val="lt1"/>
                    </a:solidFill>
                    <a:latin typeface="+mn-lt"/>
                    <a:ea typeface="+mn-ea"/>
                    <a:cs typeface="+mn-cs"/>
                  </a:rPr>
                  <a:t>Generation</a:t>
                </a:r>
                <a:endParaRPr lang="en-US"/>
              </a:p>
            </c:rich>
          </c:tx>
          <c:overlay val="0"/>
          <c:spPr>
            <a:solidFill>
              <a:schemeClr val="accent5"/>
            </a:solidFill>
            <a:ln w="25400" cap="flat" cmpd="sng" algn="ctr">
              <a:solidFill>
                <a:schemeClr val="lt1"/>
              </a:solidFill>
              <a:prstDash val="solid"/>
              <a:miter lim="800000"/>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5586144"/>
        <c:crosses val="autoZero"/>
        <c:auto val="1"/>
        <c:lblAlgn val="ctr"/>
        <c:lblOffset val="100"/>
        <c:noMultiLvlLbl val="0"/>
      </c:catAx>
      <c:valAx>
        <c:axId val="197558614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solidFill>
                      <a:schemeClr val="lt1"/>
                    </a:solidFill>
                    <a:latin typeface="+mn-lt"/>
                    <a:ea typeface="+mn-ea"/>
                    <a:cs typeface="+mn-cs"/>
                  </a:rPr>
                  <a:t>Subscriber</a:t>
                </a:r>
                <a:r>
                  <a:rPr lang="en-US" baseline="0">
                    <a:solidFill>
                      <a:schemeClr val="lt1"/>
                    </a:solidFill>
                    <a:latin typeface="+mn-lt"/>
                    <a:ea typeface="+mn-ea"/>
                    <a:cs typeface="+mn-cs"/>
                  </a:rPr>
                  <a:t> Count</a:t>
                </a:r>
                <a:endParaRPr lang="en-US"/>
              </a:p>
            </c:rich>
          </c:tx>
          <c:overlay val="0"/>
          <c:spPr>
            <a:solidFill>
              <a:schemeClr val="accent5"/>
            </a:solidFill>
            <a:ln w="25400" cap="flat" cmpd="sng" algn="ctr">
              <a:solidFill>
                <a:schemeClr val="lt1"/>
              </a:solidFill>
              <a:prstDash val="solid"/>
              <a:miter lim="800000"/>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crossAx val="197558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aseline="0">
                <a:latin typeface="Archivo Black" pitchFamily="2" charset="0"/>
              </a:rPr>
              <a:t>Average Views Generation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Pivots!$B$50</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Pivots!$A$51:$A$54</c:f>
              <c:strCache>
                <c:ptCount val="3"/>
                <c:pt idx="0">
                  <c:v>Mid Gen</c:v>
                </c:pt>
                <c:pt idx="1">
                  <c:v>New Gen</c:v>
                </c:pt>
                <c:pt idx="2">
                  <c:v>Old Gen</c:v>
                </c:pt>
              </c:strCache>
            </c:strRef>
          </c:cat>
          <c:val>
            <c:numRef>
              <c:f>Pivots!$B$51:$B$54</c:f>
              <c:numCache>
                <c:formatCode>General</c:formatCode>
                <c:ptCount val="3"/>
                <c:pt idx="0">
                  <c:v>225745912.96713614</c:v>
                </c:pt>
                <c:pt idx="1">
                  <c:v>27686527.741134752</c:v>
                </c:pt>
                <c:pt idx="2">
                  <c:v>573455518</c:v>
                </c:pt>
              </c:numCache>
            </c:numRef>
          </c:val>
          <c:extLst>
            <c:ext xmlns:c16="http://schemas.microsoft.com/office/drawing/2014/chart" uri="{C3380CC4-5D6E-409C-BE32-E72D297353CC}">
              <c16:uniqueId val="{00000000-0BDC-4182-9286-14B596DB9D3E}"/>
            </c:ext>
          </c:extLst>
        </c:ser>
        <c:dLbls>
          <c:dLblPos val="outEnd"/>
          <c:showLegendKey val="0"/>
          <c:showVal val="1"/>
          <c:showCatName val="0"/>
          <c:showSerName val="0"/>
          <c:showPercent val="0"/>
          <c:showBubbleSize val="0"/>
        </c:dLbls>
        <c:gapWidth val="219"/>
        <c:overlap val="-27"/>
        <c:axId val="1710678304"/>
        <c:axId val="1710683584"/>
      </c:barChart>
      <c:catAx>
        <c:axId val="1710678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solidFill>
                      <a:schemeClr val="dk1"/>
                    </a:solidFill>
                    <a:latin typeface="+mn-lt"/>
                    <a:ea typeface="+mn-ea"/>
                    <a:cs typeface="+mn-cs"/>
                  </a:rPr>
                  <a:t>Generation</a:t>
                </a:r>
                <a:endParaRPr lang="en-US"/>
              </a:p>
            </c:rich>
          </c:tx>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10683584"/>
        <c:crosses val="autoZero"/>
        <c:auto val="1"/>
        <c:lblAlgn val="ctr"/>
        <c:lblOffset val="100"/>
        <c:noMultiLvlLbl val="0"/>
      </c:catAx>
      <c:valAx>
        <c:axId val="171068358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solidFill>
                      <a:schemeClr val="dk1"/>
                    </a:solidFill>
                    <a:latin typeface="+mn-lt"/>
                    <a:ea typeface="+mn-ea"/>
                    <a:cs typeface="+mn-cs"/>
                  </a:rPr>
                  <a:t>View</a:t>
                </a:r>
                <a:r>
                  <a:rPr lang="en-US" baseline="0">
                    <a:solidFill>
                      <a:schemeClr val="dk1"/>
                    </a:solidFill>
                    <a:latin typeface="+mn-lt"/>
                    <a:ea typeface="+mn-ea"/>
                    <a:cs typeface="+mn-cs"/>
                  </a:rPr>
                  <a:t> Count</a:t>
                </a:r>
                <a:endParaRPr lang="en-US"/>
              </a:p>
            </c:rich>
          </c:tx>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crossAx val="17106783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chivo Black" pitchFamily="2" charset="0"/>
                <a:cs typeface="Archivo Black" pitchFamily="2" charset="0"/>
              </a:rPr>
              <a:t>Top</a:t>
            </a:r>
            <a:r>
              <a:rPr lang="en-US" sz="1600" baseline="0">
                <a:latin typeface="Archivo Black" pitchFamily="2" charset="0"/>
                <a:cs typeface="Archivo Black" pitchFamily="2" charset="0"/>
              </a:rPr>
              <a:t> 10 Channels By Subscribers</a:t>
            </a:r>
            <a:endParaRPr lang="en-US" sz="1600">
              <a:latin typeface="Archivo Black" pitchFamily="2" charset="0"/>
              <a:cs typeface="Archivo Black"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75205073923982"/>
          <c:y val="0.2537962962962963"/>
          <c:w val="0.61771049741302886"/>
          <c:h val="0.69527777777777777"/>
        </c:manualLayout>
      </c:layout>
      <c:barChart>
        <c:barDir val="bar"/>
        <c:grouping val="clustered"/>
        <c:varyColors val="0"/>
        <c:ser>
          <c:idx val="0"/>
          <c:order val="0"/>
          <c:tx>
            <c:strRef>
              <c:f>Pivots!$B$60</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Pivots!$A$61:$A$70</c:f>
              <c:strCache>
                <c:ptCount val="10"/>
                <c:pt idx="0">
                  <c:v>Sony Sports Network</c:v>
                </c:pt>
                <c:pt idx="1">
                  <c:v>Sports Central</c:v>
                </c:pt>
                <c:pt idx="2">
                  <c:v>Sky Sports Premier League</c:v>
                </c:pt>
                <c:pt idx="3">
                  <c:v>EA SPORTS FC</c:v>
                </c:pt>
                <c:pt idx="4">
                  <c:v>TNT Sports</c:v>
                </c:pt>
                <c:pt idx="5">
                  <c:v>Star Sports</c:v>
                </c:pt>
                <c:pt idx="6">
                  <c:v>Rabbitholebd Sports</c:v>
                </c:pt>
                <c:pt idx="7">
                  <c:v>LALIGA EA SPORTS</c:v>
                </c:pt>
                <c:pt idx="8">
                  <c:v>TNT Sports Brasil</c:v>
                </c:pt>
                <c:pt idx="9">
                  <c:v>beIN SPORTS</c:v>
                </c:pt>
              </c:strCache>
            </c:strRef>
          </c:cat>
          <c:val>
            <c:numRef>
              <c:f>Pivots!$B$61:$B$70</c:f>
              <c:numCache>
                <c:formatCode>General</c:formatCode>
                <c:ptCount val="10"/>
                <c:pt idx="0">
                  <c:v>4680000</c:v>
                </c:pt>
                <c:pt idx="1">
                  <c:v>4720000</c:v>
                </c:pt>
                <c:pt idx="2">
                  <c:v>4830000</c:v>
                </c:pt>
                <c:pt idx="3">
                  <c:v>5100000</c:v>
                </c:pt>
                <c:pt idx="4">
                  <c:v>5280000</c:v>
                </c:pt>
                <c:pt idx="5">
                  <c:v>7210000</c:v>
                </c:pt>
                <c:pt idx="6">
                  <c:v>9200000</c:v>
                </c:pt>
                <c:pt idx="7">
                  <c:v>9970000</c:v>
                </c:pt>
                <c:pt idx="8">
                  <c:v>10700000</c:v>
                </c:pt>
                <c:pt idx="9">
                  <c:v>11200000</c:v>
                </c:pt>
              </c:numCache>
            </c:numRef>
          </c:val>
          <c:extLst>
            <c:ext xmlns:c16="http://schemas.microsoft.com/office/drawing/2014/chart" uri="{C3380CC4-5D6E-409C-BE32-E72D297353CC}">
              <c16:uniqueId val="{00000000-7F3A-4BE4-A08A-15A167E443DB}"/>
            </c:ext>
          </c:extLst>
        </c:ser>
        <c:dLbls>
          <c:showLegendKey val="0"/>
          <c:showVal val="0"/>
          <c:showCatName val="0"/>
          <c:showSerName val="0"/>
          <c:showPercent val="0"/>
          <c:showBubbleSize val="0"/>
        </c:dLbls>
        <c:gapWidth val="182"/>
        <c:axId val="1972243856"/>
        <c:axId val="1972246256"/>
      </c:barChart>
      <c:catAx>
        <c:axId val="197224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2246256"/>
        <c:crosses val="autoZero"/>
        <c:auto val="1"/>
        <c:lblAlgn val="ctr"/>
        <c:lblOffset val="100"/>
        <c:noMultiLvlLbl val="0"/>
      </c:catAx>
      <c:valAx>
        <c:axId val="1972246256"/>
        <c:scaling>
          <c:orientation val="minMax"/>
        </c:scaling>
        <c:delete val="1"/>
        <c:axPos val="b"/>
        <c:numFmt formatCode="General" sourceLinked="1"/>
        <c:majorTickMark val="none"/>
        <c:minorTickMark val="none"/>
        <c:tickLblPos val="nextTo"/>
        <c:crossAx val="197224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latin typeface="Archivo Black" pitchFamily="2" charset="0"/>
                <a:cs typeface="Archivo Black" pitchFamily="2" charset="0"/>
              </a:rPr>
              <a:t>Top 10 Channels By 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Pivots!$B$75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Pivots!$A$76:$A$85</c:f>
              <c:strCache>
                <c:ptCount val="10"/>
                <c:pt idx="0">
                  <c:v>One Sports</c:v>
                </c:pt>
                <c:pt idx="1">
                  <c:v>News24 Sports</c:v>
                </c:pt>
                <c:pt idx="2">
                  <c:v>Kplus Sports</c:v>
                </c:pt>
                <c:pt idx="3">
                  <c:v>TNT Sports Brasil</c:v>
                </c:pt>
                <c:pt idx="4">
                  <c:v>Star Sports</c:v>
                </c:pt>
                <c:pt idx="5">
                  <c:v>Sports Central</c:v>
                </c:pt>
                <c:pt idx="6">
                  <c:v>LALIGA EA SPORTS</c:v>
                </c:pt>
                <c:pt idx="7">
                  <c:v>NBC Sports</c:v>
                </c:pt>
                <c:pt idx="8">
                  <c:v>TNT Sports</c:v>
                </c:pt>
                <c:pt idx="9">
                  <c:v>Sky Sports Premier League</c:v>
                </c:pt>
              </c:strCache>
            </c:strRef>
          </c:cat>
          <c:val>
            <c:numRef>
              <c:f>Pivots!$B$76:$B$85</c:f>
              <c:numCache>
                <c:formatCode>General</c:formatCode>
                <c:ptCount val="10"/>
                <c:pt idx="0">
                  <c:v>1873071275</c:v>
                </c:pt>
                <c:pt idx="1">
                  <c:v>2039718299</c:v>
                </c:pt>
                <c:pt idx="2">
                  <c:v>2460868921</c:v>
                </c:pt>
                <c:pt idx="3">
                  <c:v>2661398591</c:v>
                </c:pt>
                <c:pt idx="4">
                  <c:v>2701624691</c:v>
                </c:pt>
                <c:pt idx="5">
                  <c:v>2815015958</c:v>
                </c:pt>
                <c:pt idx="6">
                  <c:v>3020014777</c:v>
                </c:pt>
                <c:pt idx="7">
                  <c:v>3193685742</c:v>
                </c:pt>
                <c:pt idx="8">
                  <c:v>3481324860</c:v>
                </c:pt>
                <c:pt idx="9">
                  <c:v>3898162997</c:v>
                </c:pt>
              </c:numCache>
            </c:numRef>
          </c:val>
          <c:extLst>
            <c:ext xmlns:c16="http://schemas.microsoft.com/office/drawing/2014/chart" uri="{C3380CC4-5D6E-409C-BE32-E72D297353CC}">
              <c16:uniqueId val="{00000000-C447-4FEA-A821-89FABAF8BE51}"/>
            </c:ext>
          </c:extLst>
        </c:ser>
        <c:dLbls>
          <c:showLegendKey val="0"/>
          <c:showVal val="0"/>
          <c:showCatName val="0"/>
          <c:showSerName val="0"/>
          <c:showPercent val="0"/>
          <c:showBubbleSize val="0"/>
        </c:dLbls>
        <c:gapWidth val="182"/>
        <c:axId val="1940883952"/>
        <c:axId val="1940881552"/>
      </c:barChart>
      <c:catAx>
        <c:axId val="194088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40881552"/>
        <c:crosses val="autoZero"/>
        <c:auto val="1"/>
        <c:lblAlgn val="ctr"/>
        <c:lblOffset val="100"/>
        <c:noMultiLvlLbl val="0"/>
      </c:catAx>
      <c:valAx>
        <c:axId val="1940881552"/>
        <c:scaling>
          <c:orientation val="minMax"/>
        </c:scaling>
        <c:delete val="1"/>
        <c:axPos val="b"/>
        <c:numFmt formatCode="General" sourceLinked="1"/>
        <c:majorTickMark val="none"/>
        <c:minorTickMark val="none"/>
        <c:tickLblPos val="nextTo"/>
        <c:crossAx val="194088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latin typeface="Archivo Black" pitchFamily="2" charset="0"/>
                <a:cs typeface="Archivo Black" pitchFamily="2" charset="0"/>
              </a:rPr>
              <a:t>Top 10 Channels with Most subscribers per viewers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Pivots!$B$96</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Pivots!$A$97:$A$106</c:f>
              <c:strCache>
                <c:ptCount val="10"/>
                <c:pt idx="0">
                  <c:v>TC sports club</c:v>
                </c:pt>
                <c:pt idx="1">
                  <c:v>Cricket &amp; Sports</c:v>
                </c:pt>
                <c:pt idx="2">
                  <c:v>PERADENIYA SPORTS CLUB</c:v>
                </c:pt>
                <c:pt idx="3">
                  <c:v>AR Sports</c:v>
                </c:pt>
                <c:pt idx="4">
                  <c:v>SPORT CLUB</c:v>
                </c:pt>
                <c:pt idx="5">
                  <c:v>CHAYO Sports</c:v>
                </c:pt>
                <c:pt idx="6">
                  <c:v>STYP Sports</c:v>
                </c:pt>
                <c:pt idx="7">
                  <c:v>Sports Plus</c:v>
                </c:pt>
                <c:pt idx="8">
                  <c:v>YOU SPORTS</c:v>
                </c:pt>
                <c:pt idx="9">
                  <c:v>US Sports YT</c:v>
                </c:pt>
              </c:strCache>
            </c:strRef>
          </c:cat>
          <c:val>
            <c:numRef>
              <c:f>Pivots!$B$97:$B$106</c:f>
              <c:numCache>
                <c:formatCode>0.00</c:formatCode>
                <c:ptCount val="10"/>
                <c:pt idx="0">
                  <c:v>0.31818181818181818</c:v>
                </c:pt>
                <c:pt idx="1">
                  <c:v>0.35537190082644626</c:v>
                </c:pt>
                <c:pt idx="2">
                  <c:v>0.4</c:v>
                </c:pt>
                <c:pt idx="3">
                  <c:v>0.5</c:v>
                </c:pt>
                <c:pt idx="4">
                  <c:v>0.58789625360230546</c:v>
                </c:pt>
                <c:pt idx="5">
                  <c:v>0.66666666666666663</c:v>
                </c:pt>
                <c:pt idx="6">
                  <c:v>1</c:v>
                </c:pt>
                <c:pt idx="7">
                  <c:v>2.5075376884422109</c:v>
                </c:pt>
                <c:pt idx="8">
                  <c:v>2.7084531339850488</c:v>
                </c:pt>
                <c:pt idx="9">
                  <c:v>3.4</c:v>
                </c:pt>
              </c:numCache>
            </c:numRef>
          </c:val>
          <c:extLst>
            <c:ext xmlns:c16="http://schemas.microsoft.com/office/drawing/2014/chart" uri="{C3380CC4-5D6E-409C-BE32-E72D297353CC}">
              <c16:uniqueId val="{00000000-38EC-4206-B950-16EE96C3D9B9}"/>
            </c:ext>
          </c:extLst>
        </c:ser>
        <c:dLbls>
          <c:showLegendKey val="0"/>
          <c:showVal val="0"/>
          <c:showCatName val="0"/>
          <c:showSerName val="0"/>
          <c:showPercent val="0"/>
          <c:showBubbleSize val="0"/>
        </c:dLbls>
        <c:gapWidth val="182"/>
        <c:axId val="1632678848"/>
        <c:axId val="1632679328"/>
      </c:barChart>
      <c:catAx>
        <c:axId val="163267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32679328"/>
        <c:crosses val="autoZero"/>
        <c:auto val="1"/>
        <c:lblAlgn val="ctr"/>
        <c:lblOffset val="100"/>
        <c:noMultiLvlLbl val="0"/>
      </c:catAx>
      <c:valAx>
        <c:axId val="1632679328"/>
        <c:scaling>
          <c:orientation val="minMax"/>
        </c:scaling>
        <c:delete val="1"/>
        <c:axPos val="b"/>
        <c:numFmt formatCode="0.00" sourceLinked="1"/>
        <c:majorTickMark val="none"/>
        <c:minorTickMark val="none"/>
        <c:tickLblPos val="nextTo"/>
        <c:crossAx val="163267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chivo Black" pitchFamily="2" charset="0"/>
                <a:ea typeface="+mn-ea"/>
                <a:cs typeface="+mn-cs"/>
              </a:defRPr>
            </a:pPr>
            <a:r>
              <a:rPr lang="en-US" sz="1600" b="1" i="0" baseline="0">
                <a:latin typeface="Archivo Black" pitchFamily="2" charset="0"/>
              </a:rPr>
              <a:t>Channels Created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chivo Black" pitchFamily="2" charset="0"/>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25000"/>
                <a:lumOff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25000"/>
                <a:lumOff val="75000"/>
              </a:schemeClr>
            </a:solidFill>
            <a:round/>
          </a:ln>
          <a:effectLst/>
        </c:spPr>
        <c:marker>
          <c:symbol val="none"/>
        </c:marker>
      </c:pivotFmt>
      <c:pivotFmt>
        <c:idx val="3"/>
        <c:spPr>
          <a:solidFill>
            <a:schemeClr val="accent1"/>
          </a:solidFill>
          <a:ln w="28575" cap="rnd">
            <a:solidFill>
              <a:schemeClr val="tx2">
                <a:lumMod val="25000"/>
                <a:lumOff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25000"/>
                <a:lumOff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009713772246671E-2"/>
          <c:y val="0.28180336832895886"/>
          <c:w val="0.82914870417923059"/>
          <c:h val="0.53811424613589964"/>
        </c:manualLayout>
      </c:layout>
      <c:lineChart>
        <c:grouping val="standard"/>
        <c:varyColors val="0"/>
        <c:ser>
          <c:idx val="0"/>
          <c:order val="0"/>
          <c:tx>
            <c:strRef>
              <c:f>Pivots!$B$1</c:f>
              <c:strCache>
                <c:ptCount val="1"/>
                <c:pt idx="0">
                  <c:v>Total</c:v>
                </c:pt>
              </c:strCache>
            </c:strRef>
          </c:tx>
          <c:spPr>
            <a:ln w="28575" cap="rnd">
              <a:solidFill>
                <a:schemeClr val="tx2">
                  <a:lumMod val="25000"/>
                  <a:lumOff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Pivots!$B$2:$B$21</c:f>
              <c:numCache>
                <c:formatCode>General</c:formatCode>
                <c:ptCount val="20"/>
                <c:pt idx="0">
                  <c:v>1</c:v>
                </c:pt>
                <c:pt idx="1">
                  <c:v>6</c:v>
                </c:pt>
                <c:pt idx="2">
                  <c:v>4</c:v>
                </c:pt>
                <c:pt idx="3">
                  <c:v>3</c:v>
                </c:pt>
                <c:pt idx="4">
                  <c:v>9</c:v>
                </c:pt>
                <c:pt idx="5">
                  <c:v>7</c:v>
                </c:pt>
                <c:pt idx="6">
                  <c:v>9</c:v>
                </c:pt>
                <c:pt idx="7">
                  <c:v>12</c:v>
                </c:pt>
                <c:pt idx="8">
                  <c:v>25</c:v>
                </c:pt>
                <c:pt idx="9">
                  <c:v>21</c:v>
                </c:pt>
                <c:pt idx="10">
                  <c:v>15</c:v>
                </c:pt>
                <c:pt idx="11">
                  <c:v>35</c:v>
                </c:pt>
                <c:pt idx="12">
                  <c:v>36</c:v>
                </c:pt>
                <c:pt idx="13">
                  <c:v>28</c:v>
                </c:pt>
                <c:pt idx="14">
                  <c:v>32</c:v>
                </c:pt>
                <c:pt idx="15">
                  <c:v>49</c:v>
                </c:pt>
                <c:pt idx="16">
                  <c:v>47</c:v>
                </c:pt>
                <c:pt idx="17">
                  <c:v>56</c:v>
                </c:pt>
                <c:pt idx="18">
                  <c:v>112</c:v>
                </c:pt>
                <c:pt idx="19">
                  <c:v>18</c:v>
                </c:pt>
              </c:numCache>
            </c:numRef>
          </c:val>
          <c:smooth val="0"/>
          <c:extLst>
            <c:ext xmlns:c16="http://schemas.microsoft.com/office/drawing/2014/chart" uri="{C3380CC4-5D6E-409C-BE32-E72D297353CC}">
              <c16:uniqueId val="{00000000-9CF7-4080-8580-DA89D7D6E3F8}"/>
            </c:ext>
          </c:extLst>
        </c:ser>
        <c:dLbls>
          <c:showLegendKey val="0"/>
          <c:showVal val="0"/>
          <c:showCatName val="0"/>
          <c:showSerName val="0"/>
          <c:showPercent val="0"/>
          <c:showBubbleSize val="0"/>
        </c:dLbls>
        <c:smooth val="0"/>
        <c:axId val="1636608160"/>
        <c:axId val="1636607680"/>
      </c:lineChart>
      <c:catAx>
        <c:axId val="163660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solidFill>
                      <a:schemeClr val="lt1"/>
                    </a:solidFill>
                    <a:latin typeface="+mn-lt"/>
                    <a:ea typeface="+mn-ea"/>
                    <a:cs typeface="+mn-cs"/>
                  </a:rPr>
                  <a:t>Year</a:t>
                </a:r>
                <a:endParaRPr lang="en-US"/>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36607680"/>
        <c:crosses val="autoZero"/>
        <c:auto val="1"/>
        <c:lblAlgn val="ctr"/>
        <c:lblOffset val="100"/>
        <c:noMultiLvlLbl val="0"/>
      </c:catAx>
      <c:valAx>
        <c:axId val="163660768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solidFill>
                      <a:schemeClr val="lt1"/>
                    </a:solidFill>
                    <a:latin typeface="+mn-lt"/>
                    <a:ea typeface="+mn-ea"/>
                    <a:cs typeface="+mn-cs"/>
                  </a:rPr>
                  <a:t>Channel Count</a:t>
                </a:r>
                <a:endParaRPr lang="en-US"/>
              </a:p>
            </c:rich>
          </c:tx>
          <c:overlay val="0"/>
          <c:spPr>
            <a:solidFill>
              <a:schemeClr val="accent1"/>
            </a:solidFill>
            <a:ln w="25400" cap="flat" cmpd="sng" algn="ctr">
              <a:solidFill>
                <a:schemeClr val="lt1"/>
              </a:solidFill>
              <a:prstDash val="solid"/>
              <a:miter lim="800000"/>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16366081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sports.xlsx]Pivots!PivotTable1</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Archivo Black" pitchFamily="2" charset="0"/>
                <a:cs typeface="Archivo Black" pitchFamily="2" charset="0"/>
              </a:rPr>
              <a:t>Top 10 Channels with the Best Viewer to Video Ratio</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K"/>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Pivots!$B$112</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Pivots!$A$113:$A$122</c:f>
              <c:strCache>
                <c:ptCount val="10"/>
                <c:pt idx="0">
                  <c:v>Whistle</c:v>
                </c:pt>
                <c:pt idx="1">
                  <c:v>Rabbitholebd Sports</c:v>
                </c:pt>
                <c:pt idx="2">
                  <c:v>VICE Sports</c:v>
                </c:pt>
                <c:pt idx="3">
                  <c:v>Athletic Interest</c:v>
                </c:pt>
                <c:pt idx="4">
                  <c:v>Nonstop</c:v>
                </c:pt>
                <c:pt idx="5">
                  <c:v>GQ Sports</c:v>
                </c:pt>
                <c:pt idx="6">
                  <c:v>Savage Brick Sports</c:v>
                </c:pt>
                <c:pt idx="7">
                  <c:v>EA SPORTS FC</c:v>
                </c:pt>
                <c:pt idx="8">
                  <c:v>Oaktree Sports</c:v>
                </c:pt>
                <c:pt idx="9">
                  <c:v>Baseball Sports</c:v>
                </c:pt>
              </c:strCache>
            </c:strRef>
          </c:cat>
          <c:val>
            <c:numRef>
              <c:f>Pivots!$B$113:$B$122</c:f>
              <c:numCache>
                <c:formatCode>0.00</c:formatCode>
                <c:ptCount val="10"/>
                <c:pt idx="0">
                  <c:v>439224.69322569325</c:v>
                </c:pt>
                <c:pt idx="1">
                  <c:v>481018.58155339805</c:v>
                </c:pt>
                <c:pt idx="2">
                  <c:v>500240.17179023509</c:v>
                </c:pt>
                <c:pt idx="3">
                  <c:v>754901.57627118647</c:v>
                </c:pt>
                <c:pt idx="4">
                  <c:v>877102.9339622641</c:v>
                </c:pt>
                <c:pt idx="5">
                  <c:v>930074.91358024697</c:v>
                </c:pt>
                <c:pt idx="6">
                  <c:v>973285.42814814812</c:v>
                </c:pt>
                <c:pt idx="7">
                  <c:v>1095289.5956151036</c:v>
                </c:pt>
                <c:pt idx="8">
                  <c:v>1147220.2337962964</c:v>
                </c:pt>
                <c:pt idx="9">
                  <c:v>2114248.826923077</c:v>
                </c:pt>
              </c:numCache>
            </c:numRef>
          </c:val>
          <c:extLst>
            <c:ext xmlns:c16="http://schemas.microsoft.com/office/drawing/2014/chart" uri="{C3380CC4-5D6E-409C-BE32-E72D297353CC}">
              <c16:uniqueId val="{00000000-7A2A-4BD2-82C9-42608290FFE2}"/>
            </c:ext>
          </c:extLst>
        </c:ser>
        <c:dLbls>
          <c:showLegendKey val="0"/>
          <c:showVal val="0"/>
          <c:showCatName val="0"/>
          <c:showSerName val="0"/>
          <c:showPercent val="0"/>
          <c:showBubbleSize val="0"/>
        </c:dLbls>
        <c:gapWidth val="182"/>
        <c:axId val="1872551328"/>
        <c:axId val="1872551808"/>
      </c:barChart>
      <c:catAx>
        <c:axId val="187255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2551808"/>
        <c:crosses val="autoZero"/>
        <c:auto val="1"/>
        <c:lblAlgn val="ctr"/>
        <c:lblOffset val="100"/>
        <c:noMultiLvlLbl val="0"/>
      </c:catAx>
      <c:valAx>
        <c:axId val="1872551808"/>
        <c:scaling>
          <c:orientation val="minMax"/>
        </c:scaling>
        <c:delete val="1"/>
        <c:axPos val="b"/>
        <c:numFmt formatCode="0.00" sourceLinked="1"/>
        <c:majorTickMark val="none"/>
        <c:minorTickMark val="none"/>
        <c:tickLblPos val="nextTo"/>
        <c:crossAx val="187255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chivo Black" pitchFamily="2" charset="0"/>
                <a:ea typeface="+mn-ea"/>
                <a:cs typeface="+mn-cs"/>
              </a:defRPr>
            </a:pPr>
            <a:r>
              <a:rPr lang="en-US" sz="1600" b="1" i="0" baseline="0">
                <a:latin typeface="Archivo Black" pitchFamily="2" charset="0"/>
              </a:rPr>
              <a:t>Channels Created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chivo Black" pitchFamily="2" charset="0"/>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2">
                <a:lumMod val="25000"/>
                <a:lumOff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25000"/>
                <a:lumOff val="75000"/>
              </a:schemeClr>
            </a:solidFill>
            <a:round/>
          </a:ln>
          <a:effectLst/>
        </c:spPr>
        <c:marker>
          <c:symbol val="none"/>
        </c:marker>
      </c:pivotFmt>
    </c:pivotFmts>
    <c:plotArea>
      <c:layout>
        <c:manualLayout>
          <c:layoutTarget val="inner"/>
          <c:xMode val="edge"/>
          <c:yMode val="edge"/>
          <c:x val="5.5009713772246671E-2"/>
          <c:y val="0.28180336832895886"/>
          <c:w val="0.82914870417923059"/>
          <c:h val="0.53811424613589964"/>
        </c:manualLayout>
      </c:layout>
      <c:lineChart>
        <c:grouping val="standard"/>
        <c:varyColors val="0"/>
        <c:ser>
          <c:idx val="0"/>
          <c:order val="0"/>
          <c:tx>
            <c:strRef>
              <c:f>Pivots!$B$1</c:f>
              <c:strCache>
                <c:ptCount val="1"/>
                <c:pt idx="0">
                  <c:v>Total</c:v>
                </c:pt>
              </c:strCache>
            </c:strRef>
          </c:tx>
          <c:spPr>
            <a:ln w="28575" cap="rnd">
              <a:solidFill>
                <a:schemeClr val="tx2">
                  <a:lumMod val="25000"/>
                  <a:lumOff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Pivots!$A$2:$A$21</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Pivots!$B$2:$B$21</c:f>
              <c:numCache>
                <c:formatCode>General</c:formatCode>
                <c:ptCount val="20"/>
                <c:pt idx="0">
                  <c:v>1</c:v>
                </c:pt>
                <c:pt idx="1">
                  <c:v>6</c:v>
                </c:pt>
                <c:pt idx="2">
                  <c:v>4</c:v>
                </c:pt>
                <c:pt idx="3">
                  <c:v>3</c:v>
                </c:pt>
                <c:pt idx="4">
                  <c:v>9</c:v>
                </c:pt>
                <c:pt idx="5">
                  <c:v>7</c:v>
                </c:pt>
                <c:pt idx="6">
                  <c:v>9</c:v>
                </c:pt>
                <c:pt idx="7">
                  <c:v>12</c:v>
                </c:pt>
                <c:pt idx="8">
                  <c:v>25</c:v>
                </c:pt>
                <c:pt idx="9">
                  <c:v>21</c:v>
                </c:pt>
                <c:pt idx="10">
                  <c:v>15</c:v>
                </c:pt>
                <c:pt idx="11">
                  <c:v>35</c:v>
                </c:pt>
                <c:pt idx="12">
                  <c:v>36</c:v>
                </c:pt>
                <c:pt idx="13">
                  <c:v>28</c:v>
                </c:pt>
                <c:pt idx="14">
                  <c:v>32</c:v>
                </c:pt>
                <c:pt idx="15">
                  <c:v>49</c:v>
                </c:pt>
                <c:pt idx="16">
                  <c:v>47</c:v>
                </c:pt>
                <c:pt idx="17">
                  <c:v>56</c:v>
                </c:pt>
                <c:pt idx="18">
                  <c:v>112</c:v>
                </c:pt>
                <c:pt idx="19">
                  <c:v>18</c:v>
                </c:pt>
              </c:numCache>
            </c:numRef>
          </c:val>
          <c:smooth val="0"/>
          <c:extLst>
            <c:ext xmlns:c16="http://schemas.microsoft.com/office/drawing/2014/chart" uri="{C3380CC4-5D6E-409C-BE32-E72D297353CC}">
              <c16:uniqueId val="{00000004-CBE0-496E-A718-9E327D505E30}"/>
            </c:ext>
          </c:extLst>
        </c:ser>
        <c:dLbls>
          <c:showLegendKey val="0"/>
          <c:showVal val="0"/>
          <c:showCatName val="0"/>
          <c:showSerName val="0"/>
          <c:showPercent val="0"/>
          <c:showBubbleSize val="0"/>
        </c:dLbls>
        <c:smooth val="0"/>
        <c:axId val="1636608160"/>
        <c:axId val="1636607680"/>
      </c:lineChart>
      <c:catAx>
        <c:axId val="163660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solidFill>
                      <a:schemeClr val="lt1"/>
                    </a:solidFill>
                    <a:latin typeface="+mn-lt"/>
                    <a:ea typeface="+mn-ea"/>
                    <a:cs typeface="+mn-cs"/>
                  </a:rPr>
                  <a:t>Year</a:t>
                </a:r>
                <a:endParaRPr lang="en-US"/>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36607680"/>
        <c:crosses val="autoZero"/>
        <c:auto val="1"/>
        <c:lblAlgn val="ctr"/>
        <c:lblOffset val="100"/>
        <c:noMultiLvlLbl val="0"/>
      </c:catAx>
      <c:valAx>
        <c:axId val="163660768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solidFill>
                      <a:schemeClr val="lt1"/>
                    </a:solidFill>
                    <a:latin typeface="+mn-lt"/>
                    <a:ea typeface="+mn-ea"/>
                    <a:cs typeface="+mn-cs"/>
                  </a:rPr>
                  <a:t>Channel Count</a:t>
                </a:r>
                <a:endParaRPr lang="en-US"/>
              </a:p>
            </c:rich>
          </c:tx>
          <c:overlay val="0"/>
          <c:spPr>
            <a:solidFill>
              <a:schemeClr val="accent1"/>
            </a:solidFill>
            <a:ln w="25400" cap="flat" cmpd="sng" algn="ctr">
              <a:solidFill>
                <a:schemeClr val="lt1"/>
              </a:solidFill>
              <a:prstDash val="solid"/>
              <a:miter lim="800000"/>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16366081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chivo Black" pitchFamily="2" charset="0"/>
                <a:cs typeface="Archivo Black" pitchFamily="2" charset="0"/>
              </a:rPr>
              <a:t>Channels</a:t>
            </a:r>
            <a:r>
              <a:rPr lang="en-US" sz="1600" baseline="0">
                <a:latin typeface="Archivo Black" pitchFamily="2" charset="0"/>
                <a:cs typeface="Archivo Black" pitchFamily="2" charset="0"/>
              </a:rPr>
              <a:t> Generation Wise</a:t>
            </a:r>
            <a:endParaRPr lang="en-US" sz="1600">
              <a:latin typeface="Archivo Black" pitchFamily="2" charset="0"/>
              <a:cs typeface="Archivo Black"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00B050"/>
          </a:solidFill>
          <a:ln w="19050">
            <a:solidFill>
              <a:schemeClr val="lt1"/>
            </a:solidFill>
          </a:ln>
          <a:effectLst/>
        </c:spPr>
      </c:pivotFmt>
    </c:pivotFmts>
    <c:plotArea>
      <c:layout/>
      <c:pieChart>
        <c:varyColors val="1"/>
        <c:ser>
          <c:idx val="0"/>
          <c:order val="0"/>
          <c:tx>
            <c:strRef>
              <c:f>Pivots!$B$23</c:f>
              <c:strCache>
                <c:ptCount val="1"/>
                <c:pt idx="0">
                  <c:v>Total</c:v>
                </c:pt>
              </c:strCache>
            </c:strRef>
          </c:tx>
          <c:spPr>
            <a:solidFill>
              <a:srgbClr val="00B05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2-992D-489A-8EC9-5AB745CB08E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0663-4961-B8D4-0C6346844D51}"/>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3-992D-489A-8EC9-5AB745CB08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Pivots!$A$24:$A$27</c:f>
              <c:strCache>
                <c:ptCount val="3"/>
                <c:pt idx="0">
                  <c:v>Mid Gen</c:v>
                </c:pt>
                <c:pt idx="1">
                  <c:v>New Gen</c:v>
                </c:pt>
                <c:pt idx="2">
                  <c:v>Old Gen</c:v>
                </c:pt>
              </c:strCache>
            </c:strRef>
          </c:cat>
          <c:val>
            <c:numRef>
              <c:f>Pivots!$B$24:$B$27</c:f>
              <c:numCache>
                <c:formatCode>General</c:formatCode>
                <c:ptCount val="3"/>
                <c:pt idx="0">
                  <c:v>213</c:v>
                </c:pt>
                <c:pt idx="1">
                  <c:v>282</c:v>
                </c:pt>
                <c:pt idx="2">
                  <c:v>30</c:v>
                </c:pt>
              </c:numCache>
            </c:numRef>
          </c:val>
          <c:extLst>
            <c:ext xmlns:c16="http://schemas.microsoft.com/office/drawing/2014/chart" uri="{C3380CC4-5D6E-409C-BE32-E72D297353CC}">
              <c16:uniqueId val="{00000000-992D-489A-8EC9-5AB745CB08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chivo Black" pitchFamily="2" charset="0"/>
                <a:cs typeface="Archivo Black" pitchFamily="2" charset="0"/>
              </a:rPr>
              <a:t>Average Subscriber</a:t>
            </a:r>
            <a:r>
              <a:rPr lang="en-US" sz="1600" baseline="0">
                <a:latin typeface="Archivo Black" pitchFamily="2" charset="0"/>
                <a:cs typeface="Archivo Black" pitchFamily="2" charset="0"/>
              </a:rPr>
              <a:t>s Generation Wise</a:t>
            </a:r>
            <a:endParaRPr lang="en-US" sz="1600">
              <a:latin typeface="Archivo Black" pitchFamily="2" charset="0"/>
              <a:cs typeface="Archivo Black"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Pivots!$B$37</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Pivots!$A$38:$A$40</c:f>
              <c:strCache>
                <c:ptCount val="3"/>
                <c:pt idx="0">
                  <c:v>Mid Gen</c:v>
                </c:pt>
                <c:pt idx="1">
                  <c:v>New Gen</c:v>
                </c:pt>
                <c:pt idx="2">
                  <c:v>Old Gen</c:v>
                </c:pt>
              </c:strCache>
            </c:strRef>
          </c:cat>
          <c:val>
            <c:numRef>
              <c:f>Pivots!$B$38:$B$40</c:f>
              <c:numCache>
                <c:formatCode>0.00</c:formatCode>
                <c:ptCount val="3"/>
                <c:pt idx="0">
                  <c:v>532688.74647887319</c:v>
                </c:pt>
                <c:pt idx="1">
                  <c:v>64522.482269503547</c:v>
                </c:pt>
                <c:pt idx="2">
                  <c:v>1661139</c:v>
                </c:pt>
              </c:numCache>
            </c:numRef>
          </c:val>
          <c:extLst>
            <c:ext xmlns:c16="http://schemas.microsoft.com/office/drawing/2014/chart" uri="{C3380CC4-5D6E-409C-BE32-E72D297353CC}">
              <c16:uniqueId val="{00000000-78E7-40BA-A6C1-00B13D6CE0A1}"/>
            </c:ext>
          </c:extLst>
        </c:ser>
        <c:dLbls>
          <c:showLegendKey val="0"/>
          <c:showVal val="0"/>
          <c:showCatName val="0"/>
          <c:showSerName val="0"/>
          <c:showPercent val="0"/>
          <c:showBubbleSize val="0"/>
        </c:dLbls>
        <c:gapWidth val="219"/>
        <c:overlap val="-27"/>
        <c:axId val="1975585664"/>
        <c:axId val="1975586144"/>
      </c:barChart>
      <c:catAx>
        <c:axId val="1975585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solidFill>
                      <a:schemeClr val="lt1"/>
                    </a:solidFill>
                    <a:latin typeface="+mn-lt"/>
                    <a:ea typeface="+mn-ea"/>
                    <a:cs typeface="+mn-cs"/>
                  </a:rPr>
                  <a:t>Generation</a:t>
                </a:r>
                <a:endParaRPr lang="en-US"/>
              </a:p>
            </c:rich>
          </c:tx>
          <c:overlay val="0"/>
          <c:spPr>
            <a:solidFill>
              <a:schemeClr val="accent5"/>
            </a:solidFill>
            <a:ln w="25400" cap="flat" cmpd="sng" algn="ctr">
              <a:solidFill>
                <a:schemeClr val="lt1"/>
              </a:solidFill>
              <a:prstDash val="solid"/>
              <a:miter lim="800000"/>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5586144"/>
        <c:crosses val="autoZero"/>
        <c:auto val="1"/>
        <c:lblAlgn val="ctr"/>
        <c:lblOffset val="100"/>
        <c:noMultiLvlLbl val="0"/>
      </c:catAx>
      <c:valAx>
        <c:axId val="197558614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solidFill>
                      <a:schemeClr val="lt1"/>
                    </a:solidFill>
                    <a:latin typeface="+mn-lt"/>
                    <a:ea typeface="+mn-ea"/>
                    <a:cs typeface="+mn-cs"/>
                  </a:rPr>
                  <a:t>Subscriber</a:t>
                </a:r>
                <a:r>
                  <a:rPr lang="en-US" baseline="0">
                    <a:solidFill>
                      <a:schemeClr val="lt1"/>
                    </a:solidFill>
                    <a:latin typeface="+mn-lt"/>
                    <a:ea typeface="+mn-ea"/>
                    <a:cs typeface="+mn-cs"/>
                  </a:rPr>
                  <a:t> Count</a:t>
                </a:r>
                <a:endParaRPr lang="en-US"/>
              </a:p>
            </c:rich>
          </c:tx>
          <c:overlay val="0"/>
          <c:spPr>
            <a:solidFill>
              <a:schemeClr val="accent5"/>
            </a:solidFill>
            <a:ln w="25400" cap="flat" cmpd="sng" algn="ctr">
              <a:solidFill>
                <a:schemeClr val="lt1"/>
              </a:solidFill>
              <a:prstDash val="solid"/>
              <a:miter lim="800000"/>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crossAx val="197558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aseline="0">
                <a:latin typeface="Archivo Black" pitchFamily="2" charset="0"/>
              </a:rPr>
              <a:t>Average Views Generation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Pivots!$B$50</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Pivots!$A$51:$A$54</c:f>
              <c:strCache>
                <c:ptCount val="3"/>
                <c:pt idx="0">
                  <c:v>Mid Gen</c:v>
                </c:pt>
                <c:pt idx="1">
                  <c:v>New Gen</c:v>
                </c:pt>
                <c:pt idx="2">
                  <c:v>Old Gen</c:v>
                </c:pt>
              </c:strCache>
            </c:strRef>
          </c:cat>
          <c:val>
            <c:numRef>
              <c:f>Pivots!$B$51:$B$54</c:f>
              <c:numCache>
                <c:formatCode>General</c:formatCode>
                <c:ptCount val="3"/>
                <c:pt idx="0">
                  <c:v>225745912.96713614</c:v>
                </c:pt>
                <c:pt idx="1">
                  <c:v>27686527.741134752</c:v>
                </c:pt>
                <c:pt idx="2">
                  <c:v>573455518</c:v>
                </c:pt>
              </c:numCache>
            </c:numRef>
          </c:val>
          <c:extLst>
            <c:ext xmlns:c16="http://schemas.microsoft.com/office/drawing/2014/chart" uri="{C3380CC4-5D6E-409C-BE32-E72D297353CC}">
              <c16:uniqueId val="{00000000-F0A3-4E95-AEC1-09B94B93AA71}"/>
            </c:ext>
          </c:extLst>
        </c:ser>
        <c:dLbls>
          <c:dLblPos val="outEnd"/>
          <c:showLegendKey val="0"/>
          <c:showVal val="1"/>
          <c:showCatName val="0"/>
          <c:showSerName val="0"/>
          <c:showPercent val="0"/>
          <c:showBubbleSize val="0"/>
        </c:dLbls>
        <c:gapWidth val="219"/>
        <c:overlap val="-27"/>
        <c:axId val="1710678304"/>
        <c:axId val="1710683584"/>
      </c:barChart>
      <c:catAx>
        <c:axId val="1710678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solidFill>
                      <a:schemeClr val="dk1"/>
                    </a:solidFill>
                    <a:latin typeface="+mn-lt"/>
                    <a:ea typeface="+mn-ea"/>
                    <a:cs typeface="+mn-cs"/>
                  </a:rPr>
                  <a:t>Generation</a:t>
                </a:r>
                <a:endParaRPr lang="en-US"/>
              </a:p>
            </c:rich>
          </c:tx>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10683584"/>
        <c:crosses val="autoZero"/>
        <c:auto val="1"/>
        <c:lblAlgn val="ctr"/>
        <c:lblOffset val="100"/>
        <c:noMultiLvlLbl val="0"/>
      </c:catAx>
      <c:valAx>
        <c:axId val="171068358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solidFill>
                      <a:schemeClr val="dk1"/>
                    </a:solidFill>
                    <a:latin typeface="+mn-lt"/>
                    <a:ea typeface="+mn-ea"/>
                    <a:cs typeface="+mn-cs"/>
                  </a:rPr>
                  <a:t>View</a:t>
                </a:r>
                <a:r>
                  <a:rPr lang="en-US" baseline="0">
                    <a:solidFill>
                      <a:schemeClr val="dk1"/>
                    </a:solidFill>
                    <a:latin typeface="+mn-lt"/>
                    <a:ea typeface="+mn-ea"/>
                    <a:cs typeface="+mn-cs"/>
                  </a:rPr>
                  <a:t> Count</a:t>
                </a:r>
                <a:endParaRPr lang="en-US"/>
              </a:p>
            </c:rich>
          </c:tx>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crossAx val="17106783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chivo Black" pitchFamily="2" charset="0"/>
                <a:cs typeface="Archivo Black" pitchFamily="2" charset="0"/>
              </a:rPr>
              <a:t>Top</a:t>
            </a:r>
            <a:r>
              <a:rPr lang="en-US" sz="1600" baseline="0">
                <a:latin typeface="Archivo Black" pitchFamily="2" charset="0"/>
                <a:cs typeface="Archivo Black" pitchFamily="2" charset="0"/>
              </a:rPr>
              <a:t> 10 Channels By Subscribers</a:t>
            </a:r>
            <a:endParaRPr lang="en-US" sz="1600">
              <a:latin typeface="Archivo Black" pitchFamily="2" charset="0"/>
              <a:cs typeface="Archivo Black"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75205073923982"/>
          <c:y val="0.2537962962962963"/>
          <c:w val="0.61771049741302886"/>
          <c:h val="0.69527777777777777"/>
        </c:manualLayout>
      </c:layout>
      <c:barChart>
        <c:barDir val="bar"/>
        <c:grouping val="clustered"/>
        <c:varyColors val="0"/>
        <c:ser>
          <c:idx val="0"/>
          <c:order val="0"/>
          <c:tx>
            <c:strRef>
              <c:f>Pivots!$B$60</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Pivots!$A$61:$A$70</c:f>
              <c:strCache>
                <c:ptCount val="10"/>
                <c:pt idx="0">
                  <c:v>Sony Sports Network</c:v>
                </c:pt>
                <c:pt idx="1">
                  <c:v>Sports Central</c:v>
                </c:pt>
                <c:pt idx="2">
                  <c:v>Sky Sports Premier League</c:v>
                </c:pt>
                <c:pt idx="3">
                  <c:v>EA SPORTS FC</c:v>
                </c:pt>
                <c:pt idx="4">
                  <c:v>TNT Sports</c:v>
                </c:pt>
                <c:pt idx="5">
                  <c:v>Star Sports</c:v>
                </c:pt>
                <c:pt idx="6">
                  <c:v>Rabbitholebd Sports</c:v>
                </c:pt>
                <c:pt idx="7">
                  <c:v>LALIGA EA SPORTS</c:v>
                </c:pt>
                <c:pt idx="8">
                  <c:v>TNT Sports Brasil</c:v>
                </c:pt>
                <c:pt idx="9">
                  <c:v>beIN SPORTS</c:v>
                </c:pt>
              </c:strCache>
            </c:strRef>
          </c:cat>
          <c:val>
            <c:numRef>
              <c:f>Pivots!$B$61:$B$70</c:f>
              <c:numCache>
                <c:formatCode>General</c:formatCode>
                <c:ptCount val="10"/>
                <c:pt idx="0">
                  <c:v>4680000</c:v>
                </c:pt>
                <c:pt idx="1">
                  <c:v>4720000</c:v>
                </c:pt>
                <c:pt idx="2">
                  <c:v>4830000</c:v>
                </c:pt>
                <c:pt idx="3">
                  <c:v>5100000</c:v>
                </c:pt>
                <c:pt idx="4">
                  <c:v>5280000</c:v>
                </c:pt>
                <c:pt idx="5">
                  <c:v>7210000</c:v>
                </c:pt>
                <c:pt idx="6">
                  <c:v>9200000</c:v>
                </c:pt>
                <c:pt idx="7">
                  <c:v>9970000</c:v>
                </c:pt>
                <c:pt idx="8">
                  <c:v>10700000</c:v>
                </c:pt>
                <c:pt idx="9">
                  <c:v>11200000</c:v>
                </c:pt>
              </c:numCache>
            </c:numRef>
          </c:val>
          <c:extLst>
            <c:ext xmlns:c16="http://schemas.microsoft.com/office/drawing/2014/chart" uri="{C3380CC4-5D6E-409C-BE32-E72D297353CC}">
              <c16:uniqueId val="{00000000-C030-49AE-915B-62CADF50F845}"/>
            </c:ext>
          </c:extLst>
        </c:ser>
        <c:dLbls>
          <c:showLegendKey val="0"/>
          <c:showVal val="0"/>
          <c:showCatName val="0"/>
          <c:showSerName val="0"/>
          <c:showPercent val="0"/>
          <c:showBubbleSize val="0"/>
        </c:dLbls>
        <c:gapWidth val="182"/>
        <c:axId val="1972243856"/>
        <c:axId val="1972246256"/>
      </c:barChart>
      <c:catAx>
        <c:axId val="197224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72246256"/>
        <c:crosses val="autoZero"/>
        <c:auto val="1"/>
        <c:lblAlgn val="ctr"/>
        <c:lblOffset val="100"/>
        <c:noMultiLvlLbl val="0"/>
      </c:catAx>
      <c:valAx>
        <c:axId val="1972246256"/>
        <c:scaling>
          <c:orientation val="minMax"/>
        </c:scaling>
        <c:delete val="1"/>
        <c:axPos val="b"/>
        <c:numFmt formatCode="General" sourceLinked="1"/>
        <c:majorTickMark val="none"/>
        <c:minorTickMark val="none"/>
        <c:tickLblPos val="nextTo"/>
        <c:crossAx val="197224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latin typeface="Archivo Black" pitchFamily="2" charset="0"/>
                <a:cs typeface="Archivo Black" pitchFamily="2" charset="0"/>
              </a:rPr>
              <a:t>Top 10 Channels By 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Pivots!$B$75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Pivots!$A$76:$A$85</c:f>
              <c:strCache>
                <c:ptCount val="10"/>
                <c:pt idx="0">
                  <c:v>One Sports</c:v>
                </c:pt>
                <c:pt idx="1">
                  <c:v>News24 Sports</c:v>
                </c:pt>
                <c:pt idx="2">
                  <c:v>Kplus Sports</c:v>
                </c:pt>
                <c:pt idx="3">
                  <c:v>TNT Sports Brasil</c:v>
                </c:pt>
                <c:pt idx="4">
                  <c:v>Star Sports</c:v>
                </c:pt>
                <c:pt idx="5">
                  <c:v>Sports Central</c:v>
                </c:pt>
                <c:pt idx="6">
                  <c:v>LALIGA EA SPORTS</c:v>
                </c:pt>
                <c:pt idx="7">
                  <c:v>NBC Sports</c:v>
                </c:pt>
                <c:pt idx="8">
                  <c:v>TNT Sports</c:v>
                </c:pt>
                <c:pt idx="9">
                  <c:v>Sky Sports Premier League</c:v>
                </c:pt>
              </c:strCache>
            </c:strRef>
          </c:cat>
          <c:val>
            <c:numRef>
              <c:f>Pivots!$B$76:$B$85</c:f>
              <c:numCache>
                <c:formatCode>General</c:formatCode>
                <c:ptCount val="10"/>
                <c:pt idx="0">
                  <c:v>1873071275</c:v>
                </c:pt>
                <c:pt idx="1">
                  <c:v>2039718299</c:v>
                </c:pt>
                <c:pt idx="2">
                  <c:v>2460868921</c:v>
                </c:pt>
                <c:pt idx="3">
                  <c:v>2661398591</c:v>
                </c:pt>
                <c:pt idx="4">
                  <c:v>2701624691</c:v>
                </c:pt>
                <c:pt idx="5">
                  <c:v>2815015958</c:v>
                </c:pt>
                <c:pt idx="6">
                  <c:v>3020014777</c:v>
                </c:pt>
                <c:pt idx="7">
                  <c:v>3193685742</c:v>
                </c:pt>
                <c:pt idx="8">
                  <c:v>3481324860</c:v>
                </c:pt>
                <c:pt idx="9">
                  <c:v>3898162997</c:v>
                </c:pt>
              </c:numCache>
            </c:numRef>
          </c:val>
          <c:extLst>
            <c:ext xmlns:c16="http://schemas.microsoft.com/office/drawing/2014/chart" uri="{C3380CC4-5D6E-409C-BE32-E72D297353CC}">
              <c16:uniqueId val="{00000000-FCF8-4DD6-9377-CC36B2A4034B}"/>
            </c:ext>
          </c:extLst>
        </c:ser>
        <c:dLbls>
          <c:showLegendKey val="0"/>
          <c:showVal val="0"/>
          <c:showCatName val="0"/>
          <c:showSerName val="0"/>
          <c:showPercent val="0"/>
          <c:showBubbleSize val="0"/>
        </c:dLbls>
        <c:gapWidth val="182"/>
        <c:axId val="1940883952"/>
        <c:axId val="1940881552"/>
      </c:barChart>
      <c:catAx>
        <c:axId val="194088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40881552"/>
        <c:crosses val="autoZero"/>
        <c:auto val="1"/>
        <c:lblAlgn val="ctr"/>
        <c:lblOffset val="100"/>
        <c:noMultiLvlLbl val="0"/>
      </c:catAx>
      <c:valAx>
        <c:axId val="1940881552"/>
        <c:scaling>
          <c:orientation val="minMax"/>
        </c:scaling>
        <c:delete val="1"/>
        <c:axPos val="b"/>
        <c:numFmt formatCode="General" sourceLinked="1"/>
        <c:majorTickMark val="none"/>
        <c:minorTickMark val="none"/>
        <c:tickLblPos val="nextTo"/>
        <c:crossAx val="194088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latin typeface="Archivo Black" pitchFamily="2" charset="0"/>
                <a:cs typeface="Archivo Black" pitchFamily="2" charset="0"/>
              </a:rPr>
              <a:t>Top 10 Channels with Most subscribers per viewers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Pivots!$B$96</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Pivots!$A$97:$A$106</c:f>
              <c:strCache>
                <c:ptCount val="10"/>
                <c:pt idx="0">
                  <c:v>TC sports club</c:v>
                </c:pt>
                <c:pt idx="1">
                  <c:v>Cricket &amp; Sports</c:v>
                </c:pt>
                <c:pt idx="2">
                  <c:v>PERADENIYA SPORTS CLUB</c:v>
                </c:pt>
                <c:pt idx="3">
                  <c:v>AR Sports</c:v>
                </c:pt>
                <c:pt idx="4">
                  <c:v>SPORT CLUB</c:v>
                </c:pt>
                <c:pt idx="5">
                  <c:v>CHAYO Sports</c:v>
                </c:pt>
                <c:pt idx="6">
                  <c:v>STYP Sports</c:v>
                </c:pt>
                <c:pt idx="7">
                  <c:v>Sports Plus</c:v>
                </c:pt>
                <c:pt idx="8">
                  <c:v>YOU SPORTS</c:v>
                </c:pt>
                <c:pt idx="9">
                  <c:v>US Sports YT</c:v>
                </c:pt>
              </c:strCache>
            </c:strRef>
          </c:cat>
          <c:val>
            <c:numRef>
              <c:f>Pivots!$B$97:$B$106</c:f>
              <c:numCache>
                <c:formatCode>0.00</c:formatCode>
                <c:ptCount val="10"/>
                <c:pt idx="0">
                  <c:v>0.31818181818181818</c:v>
                </c:pt>
                <c:pt idx="1">
                  <c:v>0.35537190082644626</c:v>
                </c:pt>
                <c:pt idx="2">
                  <c:v>0.4</c:v>
                </c:pt>
                <c:pt idx="3">
                  <c:v>0.5</c:v>
                </c:pt>
                <c:pt idx="4">
                  <c:v>0.58789625360230546</c:v>
                </c:pt>
                <c:pt idx="5">
                  <c:v>0.66666666666666663</c:v>
                </c:pt>
                <c:pt idx="6">
                  <c:v>1</c:v>
                </c:pt>
                <c:pt idx="7">
                  <c:v>2.5075376884422109</c:v>
                </c:pt>
                <c:pt idx="8">
                  <c:v>2.7084531339850488</c:v>
                </c:pt>
                <c:pt idx="9">
                  <c:v>3.4</c:v>
                </c:pt>
              </c:numCache>
            </c:numRef>
          </c:val>
          <c:extLst>
            <c:ext xmlns:c16="http://schemas.microsoft.com/office/drawing/2014/chart" uri="{C3380CC4-5D6E-409C-BE32-E72D297353CC}">
              <c16:uniqueId val="{00000000-2ECD-4C98-85C4-C3EF8365906A}"/>
            </c:ext>
          </c:extLst>
        </c:ser>
        <c:dLbls>
          <c:showLegendKey val="0"/>
          <c:showVal val="0"/>
          <c:showCatName val="0"/>
          <c:showSerName val="0"/>
          <c:showPercent val="0"/>
          <c:showBubbleSize val="0"/>
        </c:dLbls>
        <c:gapWidth val="182"/>
        <c:axId val="1632678848"/>
        <c:axId val="1632679328"/>
      </c:barChart>
      <c:catAx>
        <c:axId val="163267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32679328"/>
        <c:crosses val="autoZero"/>
        <c:auto val="1"/>
        <c:lblAlgn val="ctr"/>
        <c:lblOffset val="100"/>
        <c:noMultiLvlLbl val="0"/>
      </c:catAx>
      <c:valAx>
        <c:axId val="1632679328"/>
        <c:scaling>
          <c:orientation val="minMax"/>
        </c:scaling>
        <c:delete val="1"/>
        <c:axPos val="b"/>
        <c:numFmt formatCode="0.00" sourceLinked="1"/>
        <c:majorTickMark val="none"/>
        <c:minorTickMark val="none"/>
        <c:tickLblPos val="nextTo"/>
        <c:crossAx val="163267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[YT sports.xlsx]Pivots!PivotTable1</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Archivo Black" pitchFamily="2" charset="0"/>
                <a:cs typeface="Archivo Black" pitchFamily="2" charset="0"/>
              </a:rPr>
              <a:t>Top 10 Channels with the Best Viewer to Video Ratio</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K"/>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Pivots!$B$112</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Pivots!$A$113:$A$122</c:f>
              <c:strCache>
                <c:ptCount val="10"/>
                <c:pt idx="0">
                  <c:v>Whistle</c:v>
                </c:pt>
                <c:pt idx="1">
                  <c:v>Rabbitholebd Sports</c:v>
                </c:pt>
                <c:pt idx="2">
                  <c:v>VICE Sports</c:v>
                </c:pt>
                <c:pt idx="3">
                  <c:v>Athletic Interest</c:v>
                </c:pt>
                <c:pt idx="4">
                  <c:v>Nonstop</c:v>
                </c:pt>
                <c:pt idx="5">
                  <c:v>GQ Sports</c:v>
                </c:pt>
                <c:pt idx="6">
                  <c:v>Savage Brick Sports</c:v>
                </c:pt>
                <c:pt idx="7">
                  <c:v>EA SPORTS FC</c:v>
                </c:pt>
                <c:pt idx="8">
                  <c:v>Oaktree Sports</c:v>
                </c:pt>
                <c:pt idx="9">
                  <c:v>Baseball Sports</c:v>
                </c:pt>
              </c:strCache>
            </c:strRef>
          </c:cat>
          <c:val>
            <c:numRef>
              <c:f>Pivots!$B$113:$B$122</c:f>
              <c:numCache>
                <c:formatCode>0.00</c:formatCode>
                <c:ptCount val="10"/>
                <c:pt idx="0">
                  <c:v>439224.69322569325</c:v>
                </c:pt>
                <c:pt idx="1">
                  <c:v>481018.58155339805</c:v>
                </c:pt>
                <c:pt idx="2">
                  <c:v>500240.17179023509</c:v>
                </c:pt>
                <c:pt idx="3">
                  <c:v>754901.57627118647</c:v>
                </c:pt>
                <c:pt idx="4">
                  <c:v>877102.9339622641</c:v>
                </c:pt>
                <c:pt idx="5">
                  <c:v>930074.91358024697</c:v>
                </c:pt>
                <c:pt idx="6">
                  <c:v>973285.42814814812</c:v>
                </c:pt>
                <c:pt idx="7">
                  <c:v>1095289.5956151036</c:v>
                </c:pt>
                <c:pt idx="8">
                  <c:v>1147220.2337962964</c:v>
                </c:pt>
                <c:pt idx="9">
                  <c:v>2114248.826923077</c:v>
                </c:pt>
              </c:numCache>
            </c:numRef>
          </c:val>
          <c:extLst>
            <c:ext xmlns:c16="http://schemas.microsoft.com/office/drawing/2014/chart" uri="{C3380CC4-5D6E-409C-BE32-E72D297353CC}">
              <c16:uniqueId val="{00000000-345F-4361-A888-47339A02E2C3}"/>
            </c:ext>
          </c:extLst>
        </c:ser>
        <c:dLbls>
          <c:showLegendKey val="0"/>
          <c:showVal val="0"/>
          <c:showCatName val="0"/>
          <c:showSerName val="0"/>
          <c:showPercent val="0"/>
          <c:showBubbleSize val="0"/>
        </c:dLbls>
        <c:gapWidth val="182"/>
        <c:axId val="1872551328"/>
        <c:axId val="1872551808"/>
      </c:barChart>
      <c:catAx>
        <c:axId val="187255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72551808"/>
        <c:crosses val="autoZero"/>
        <c:auto val="1"/>
        <c:lblAlgn val="ctr"/>
        <c:lblOffset val="100"/>
        <c:noMultiLvlLbl val="0"/>
      </c:catAx>
      <c:valAx>
        <c:axId val="1872551808"/>
        <c:scaling>
          <c:orientation val="minMax"/>
        </c:scaling>
        <c:delete val="1"/>
        <c:axPos val="b"/>
        <c:numFmt formatCode="0.00" sourceLinked="1"/>
        <c:majorTickMark val="none"/>
        <c:minorTickMark val="none"/>
        <c:tickLblPos val="nextTo"/>
        <c:crossAx val="187255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14</xdr:col>
      <xdr:colOff>1</xdr:colOff>
      <xdr:row>7</xdr:row>
      <xdr:rowOff>0</xdr:rowOff>
    </xdr:from>
    <xdr:to>
      <xdr:col>18</xdr:col>
      <xdr:colOff>0</xdr:colOff>
      <xdr:row>19</xdr:row>
      <xdr:rowOff>0</xdr:rowOff>
    </xdr:to>
    <xdr:graphicFrame macro="">
      <xdr:nvGraphicFramePr>
        <xdr:cNvPr id="5" name="Chart 4">
          <a:extLst>
            <a:ext uri="{FF2B5EF4-FFF2-40B4-BE49-F238E27FC236}">
              <a16:creationId xmlns:a16="http://schemas.microsoft.com/office/drawing/2014/main" id="{5E6BD890-CAD2-45D5-B87B-D66F96C5E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19</xdr:row>
      <xdr:rowOff>0</xdr:rowOff>
    </xdr:from>
    <xdr:to>
      <xdr:col>11</xdr:col>
      <xdr:colOff>0</xdr:colOff>
      <xdr:row>30</xdr:row>
      <xdr:rowOff>185738</xdr:rowOff>
    </xdr:to>
    <xdr:graphicFrame macro="">
      <xdr:nvGraphicFramePr>
        <xdr:cNvPr id="9" name="Chart 8">
          <a:extLst>
            <a:ext uri="{FF2B5EF4-FFF2-40B4-BE49-F238E27FC236}">
              <a16:creationId xmlns:a16="http://schemas.microsoft.com/office/drawing/2014/main" id="{AB7B7688-788F-4ED6-8FB9-92BF947C2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19</xdr:row>
      <xdr:rowOff>0</xdr:rowOff>
    </xdr:from>
    <xdr:to>
      <xdr:col>18</xdr:col>
      <xdr:colOff>19050</xdr:colOff>
      <xdr:row>30</xdr:row>
      <xdr:rowOff>180975</xdr:rowOff>
    </xdr:to>
    <xdr:graphicFrame macro="">
      <xdr:nvGraphicFramePr>
        <xdr:cNvPr id="11" name="Chart 10">
          <a:extLst>
            <a:ext uri="{FF2B5EF4-FFF2-40B4-BE49-F238E27FC236}">
              <a16:creationId xmlns:a16="http://schemas.microsoft.com/office/drawing/2014/main" id="{26C09925-87EE-41A6-8530-8896E3414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9524</xdr:colOff>
      <xdr:row>30</xdr:row>
      <xdr:rowOff>190499</xdr:rowOff>
    </xdr:from>
    <xdr:to>
      <xdr:col>10</xdr:col>
      <xdr:colOff>609599</xdr:colOff>
      <xdr:row>47</xdr:row>
      <xdr:rowOff>0</xdr:rowOff>
    </xdr:to>
    <xdr:graphicFrame macro="">
      <xdr:nvGraphicFramePr>
        <xdr:cNvPr id="18" name="Chart 17">
          <a:extLst>
            <a:ext uri="{FF2B5EF4-FFF2-40B4-BE49-F238E27FC236}">
              <a16:creationId xmlns:a16="http://schemas.microsoft.com/office/drawing/2014/main" id="{6FDCAB81-A4D3-4E75-9933-8BCF7A217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9525</xdr:colOff>
      <xdr:row>31</xdr:row>
      <xdr:rowOff>0</xdr:rowOff>
    </xdr:from>
    <xdr:to>
      <xdr:col>18</xdr:col>
      <xdr:colOff>0</xdr:colOff>
      <xdr:row>47</xdr:row>
      <xdr:rowOff>0</xdr:rowOff>
    </xdr:to>
    <xdr:graphicFrame macro="">
      <xdr:nvGraphicFramePr>
        <xdr:cNvPr id="19" name="Chart 18">
          <a:extLst>
            <a:ext uri="{FF2B5EF4-FFF2-40B4-BE49-F238E27FC236}">
              <a16:creationId xmlns:a16="http://schemas.microsoft.com/office/drawing/2014/main" id="{E5651AD0-806A-4406-8A54-60475C8DC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9524</xdr:colOff>
      <xdr:row>47</xdr:row>
      <xdr:rowOff>9524</xdr:rowOff>
    </xdr:from>
    <xdr:to>
      <xdr:col>17</xdr:col>
      <xdr:colOff>819149</xdr:colOff>
      <xdr:row>64</xdr:row>
      <xdr:rowOff>19049</xdr:rowOff>
    </xdr:to>
    <xdr:graphicFrame macro="">
      <xdr:nvGraphicFramePr>
        <xdr:cNvPr id="22" name="Chart 21">
          <a:extLst>
            <a:ext uri="{FF2B5EF4-FFF2-40B4-BE49-F238E27FC236}">
              <a16:creationId xmlns:a16="http://schemas.microsoft.com/office/drawing/2014/main" id="{EA1E8C40-2328-49F1-A0AD-66CBBF4A7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609599</xdr:colOff>
      <xdr:row>7</xdr:row>
      <xdr:rowOff>0</xdr:rowOff>
    </xdr:from>
    <xdr:to>
      <xdr:col>14</xdr:col>
      <xdr:colOff>9525</xdr:colOff>
      <xdr:row>18</xdr:row>
      <xdr:rowOff>180975</xdr:rowOff>
    </xdr:to>
    <xdr:graphicFrame macro="">
      <xdr:nvGraphicFramePr>
        <xdr:cNvPr id="23" name="Chart 22">
          <a:extLst>
            <a:ext uri="{FF2B5EF4-FFF2-40B4-BE49-F238E27FC236}">
              <a16:creationId xmlns:a16="http://schemas.microsoft.com/office/drawing/2014/main" id="{822519A0-DA34-4436-AE5C-A420E868D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609599</xdr:colOff>
      <xdr:row>46</xdr:row>
      <xdr:rowOff>190499</xdr:rowOff>
    </xdr:from>
    <xdr:to>
      <xdr:col>11</xdr:col>
      <xdr:colOff>9524</xdr:colOff>
      <xdr:row>64</xdr:row>
      <xdr:rowOff>9524</xdr:rowOff>
    </xdr:to>
    <xdr:graphicFrame macro="">
      <xdr:nvGraphicFramePr>
        <xdr:cNvPr id="3" name="Chart 2">
          <a:extLst>
            <a:ext uri="{FF2B5EF4-FFF2-40B4-BE49-F238E27FC236}">
              <a16:creationId xmlns:a16="http://schemas.microsoft.com/office/drawing/2014/main" id="{0E13A592-3506-4DAD-935F-FCE55A906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13</xdr:row>
      <xdr:rowOff>104775</xdr:rowOff>
    </xdr:from>
    <xdr:to>
      <xdr:col>2</xdr:col>
      <xdr:colOff>9525</xdr:colOff>
      <xdr:row>27</xdr:row>
      <xdr:rowOff>161925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96628A45-1D30-87B7-B90C-B92030E7C64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2581275"/>
              <a:ext cx="1228725" cy="27241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180975</xdr:rowOff>
    </xdr:from>
    <xdr:to>
      <xdr:col>1</xdr:col>
      <xdr:colOff>561975</xdr:colOff>
      <xdr:row>13</xdr:row>
      <xdr:rowOff>114300</xdr:rowOff>
    </xdr:to>
    <mc:AlternateContent xmlns:mc="http://schemas.openxmlformats.org/markup-compatibility/2006">
      <mc:Choice xmlns:a14="http://schemas.microsoft.com/office/drawing/2010/main" Requires="a14">
        <xdr:graphicFrame macro="">
          <xdr:nvGraphicFramePr>
            <xdr:cNvPr id="6" name="Generation">
              <a:extLst>
                <a:ext uri="{FF2B5EF4-FFF2-40B4-BE49-F238E27FC236}">
                  <a16:creationId xmlns:a16="http://schemas.microsoft.com/office/drawing/2014/main" id="{BB68C44C-FEA8-646D-3CD0-E46CD6CB6072}"/>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dr:sp macro="" textlink="">
          <xdr:nvSpPr>
            <xdr:cNvPr id="0" name=""/>
            <xdr:cNvSpPr>
              <a:spLocks noTextEdit="1"/>
            </xdr:cNvSpPr>
          </xdr:nvSpPr>
          <xdr:spPr>
            <a:xfrm>
              <a:off x="0" y="1323975"/>
              <a:ext cx="1171575" cy="12668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38099</xdr:colOff>
      <xdr:row>0</xdr:row>
      <xdr:rowOff>14287</xdr:rowOff>
    </xdr:from>
    <xdr:to>
      <xdr:col>10</xdr:col>
      <xdr:colOff>28575</xdr:colOff>
      <xdr:row>14</xdr:row>
      <xdr:rowOff>90487</xdr:rowOff>
    </xdr:to>
    <xdr:graphicFrame macro="">
      <xdr:nvGraphicFramePr>
        <xdr:cNvPr id="2" name="Chart 1">
          <a:extLst>
            <a:ext uri="{FF2B5EF4-FFF2-40B4-BE49-F238E27FC236}">
              <a16:creationId xmlns:a16="http://schemas.microsoft.com/office/drawing/2014/main" id="{5C687251-EC45-4E0F-C42D-7EF6B6E48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1800224</xdr:colOff>
      <xdr:row>21</xdr:row>
      <xdr:rowOff>185737</xdr:rowOff>
    </xdr:from>
    <xdr:to>
      <xdr:col>3</xdr:col>
      <xdr:colOff>1057275</xdr:colOff>
      <xdr:row>30</xdr:row>
      <xdr:rowOff>0</xdr:rowOff>
    </xdr:to>
    <xdr:graphicFrame macro="">
      <xdr:nvGraphicFramePr>
        <xdr:cNvPr id="3" name="Chart 2">
          <a:extLst>
            <a:ext uri="{FF2B5EF4-FFF2-40B4-BE49-F238E27FC236}">
              <a16:creationId xmlns:a16="http://schemas.microsoft.com/office/drawing/2014/main" id="{3165F8BA-53E4-6256-9EA3-EA1F55E37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36</xdr:row>
      <xdr:rowOff>4762</xdr:rowOff>
    </xdr:from>
    <xdr:to>
      <xdr:col>5</xdr:col>
      <xdr:colOff>1543050</xdr:colOff>
      <xdr:row>48</xdr:row>
      <xdr:rowOff>0</xdr:rowOff>
    </xdr:to>
    <xdr:graphicFrame macro="">
      <xdr:nvGraphicFramePr>
        <xdr:cNvPr id="6" name="Chart 5">
          <a:extLst>
            <a:ext uri="{FF2B5EF4-FFF2-40B4-BE49-F238E27FC236}">
              <a16:creationId xmlns:a16="http://schemas.microsoft.com/office/drawing/2014/main" id="{63D59B84-B884-3661-2EF7-190FDDC94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723900</xdr:colOff>
      <xdr:row>49</xdr:row>
      <xdr:rowOff>14287</xdr:rowOff>
    </xdr:from>
    <xdr:to>
      <xdr:col>5</xdr:col>
      <xdr:colOff>1590675</xdr:colOff>
      <xdr:row>58</xdr:row>
      <xdr:rowOff>19050</xdr:rowOff>
    </xdr:to>
    <xdr:graphicFrame macro="">
      <xdr:nvGraphicFramePr>
        <xdr:cNvPr id="7" name="Chart 6">
          <a:extLst>
            <a:ext uri="{FF2B5EF4-FFF2-40B4-BE49-F238E27FC236}">
              <a16:creationId xmlns:a16="http://schemas.microsoft.com/office/drawing/2014/main" id="{2B407BCE-BDDC-611D-9FFC-812EECB63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738187</xdr:colOff>
      <xdr:row>59</xdr:row>
      <xdr:rowOff>4762</xdr:rowOff>
    </xdr:from>
    <xdr:to>
      <xdr:col>6</xdr:col>
      <xdr:colOff>9525</xdr:colOff>
      <xdr:row>73</xdr:row>
      <xdr:rowOff>80962</xdr:rowOff>
    </xdr:to>
    <xdr:graphicFrame macro="">
      <xdr:nvGraphicFramePr>
        <xdr:cNvPr id="8" name="Chart 7">
          <a:extLst>
            <a:ext uri="{FF2B5EF4-FFF2-40B4-BE49-F238E27FC236}">
              <a16:creationId xmlns:a16="http://schemas.microsoft.com/office/drawing/2014/main" id="{3B135C0F-0E47-709F-5BE7-A695FF839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728662</xdr:colOff>
      <xdr:row>74</xdr:row>
      <xdr:rowOff>14287</xdr:rowOff>
    </xdr:from>
    <xdr:to>
      <xdr:col>6</xdr:col>
      <xdr:colOff>566737</xdr:colOff>
      <xdr:row>88</xdr:row>
      <xdr:rowOff>90487</xdr:rowOff>
    </xdr:to>
    <xdr:graphicFrame macro="">
      <xdr:nvGraphicFramePr>
        <xdr:cNvPr id="9" name="Chart 8">
          <a:extLst>
            <a:ext uri="{FF2B5EF4-FFF2-40B4-BE49-F238E27FC236}">
              <a16:creationId xmlns:a16="http://schemas.microsoft.com/office/drawing/2014/main" id="{D6AFCCD5-EC8D-4E4E-E324-188CA68D1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757237</xdr:colOff>
      <xdr:row>95</xdr:row>
      <xdr:rowOff>4762</xdr:rowOff>
    </xdr:from>
    <xdr:to>
      <xdr:col>6</xdr:col>
      <xdr:colOff>71437</xdr:colOff>
      <xdr:row>109</xdr:row>
      <xdr:rowOff>80962</xdr:rowOff>
    </xdr:to>
    <xdr:graphicFrame macro="">
      <xdr:nvGraphicFramePr>
        <xdr:cNvPr id="11" name="Chart 10">
          <a:extLst>
            <a:ext uri="{FF2B5EF4-FFF2-40B4-BE49-F238E27FC236}">
              <a16:creationId xmlns:a16="http://schemas.microsoft.com/office/drawing/2014/main" id="{56A86B4B-09E9-96DA-5EC8-132B74185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752475</xdr:colOff>
      <xdr:row>110</xdr:row>
      <xdr:rowOff>185737</xdr:rowOff>
    </xdr:from>
    <xdr:to>
      <xdr:col>6</xdr:col>
      <xdr:colOff>57150</xdr:colOff>
      <xdr:row>125</xdr:row>
      <xdr:rowOff>71437</xdr:rowOff>
    </xdr:to>
    <xdr:graphicFrame macro="">
      <xdr:nvGraphicFramePr>
        <xdr:cNvPr id="4" name="Chart 3">
          <a:extLst>
            <a:ext uri="{FF2B5EF4-FFF2-40B4-BE49-F238E27FC236}">
              <a16:creationId xmlns:a16="http://schemas.microsoft.com/office/drawing/2014/main" id="{B67A28C2-BF5D-CE54-5FC8-C852F35BF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aiyab Sheikh" refreshedDate="46087.638081944446" createdVersion="8" refreshedVersion="8" minRefreshableVersion="3" recordCount="525" xr:uid="{822D2912-3EFC-40A9-AC06-1DDA77973117}">
  <cacheSource type="worksheet">
    <worksheetSource name="yt_sports_channels_stats"/>
  </cacheSource>
  <cacheFields count="12">
    <cacheField name="channel_title" numFmtId="0">
      <sharedItems count="489">
        <s v="T Sports"/>
        <s v="A Sports"/>
        <s v="Sky Sports Premier League"/>
        <s v="Sports Digitale"/>
        <s v="beIN SPORTS"/>
        <s v="TNT Sports"/>
        <s v="S Sport"/>
        <s v="Kplus Sports"/>
        <s v="Sri Lankan Sports TV"/>
        <s v="Sky Sports News"/>
        <s v="Sky Sports Retro"/>
        <s v="Optus Sport"/>
        <s v="Sky Sports Boxing"/>
        <s v="BBC Sport"/>
        <s v="Yahoo! Sports"/>
        <s v="Claro Sports"/>
        <s v="CBS Sports"/>
        <s v="Viaplay Sports UK"/>
        <s v="TNT Sports Brasil"/>
        <s v="TyC Sports"/>
        <s v="Sports Team"/>
        <s v="France tv sport"/>
        <s v="Ziggo Sport"/>
        <s v="DSports"/>
        <s v="Sky Sport"/>
        <s v="tvN SPORTS"/>
        <s v="LALIGA EA SPORTS"/>
        <s v="TNT Sports Boxing"/>
        <s v="Syracuse Orange sports on syracuse.com"/>
        <s v="Just Women's Sports"/>
        <s v="EA SPORTS MADDEN NFL"/>
        <s v="EA SPORTS NHL"/>
        <s v="TNT Sports Argentina"/>
        <s v="beIN SPORTS Türkiye"/>
        <s v="365 Sports"/>
        <s v="SPORTS UZ"/>
        <s v="SHOWTIME Sports"/>
        <s v="TNT Sports Chile"/>
        <s v="CBC Sports"/>
        <s v="Sports Central"/>
        <s v="Virgin Media Sport"/>
        <s v="GQ Sports"/>
        <s v="Sky Sports Golf"/>
        <s v="RTÉ Sport"/>
        <s v="beIN SPORTS France"/>
        <s v="GOLIM SPORTS"/>
        <s v="GPB Sports"/>
        <s v="SPORT BILD"/>
        <s v="CBS Sports Golazo"/>
        <s v="Sports Today"/>
        <s v="UW Athletics"/>
        <s v="NBC Sports Boston"/>
        <s v="talkSPORT"/>
        <s v="VICE Sports"/>
        <s v="Star Sports"/>
        <s v="Sports Dissected by COISKI"/>
        <s v="Chat Sports"/>
        <s v="ITV Sport"/>
        <s v="WoodwardSports"/>
        <s v="Chatterbox Sports | Cincinnati Sports Talk &amp; more"/>
        <s v="BYU Sports Nation"/>
        <s v="Stanford Athletics"/>
        <s v="vIQtory Sports"/>
        <s v="Win Sports"/>
        <s v="Sky Sports Football"/>
        <s v="Channel 4 Sport"/>
        <s v="TNT Sports México"/>
        <s v="Sports Spectrum"/>
        <s v="Hurrdat Sports"/>
        <s v="National Academy of Sports Medicine (NASM)"/>
        <s v="Little Sports"/>
        <s v="Locked On Sports Minnesota"/>
        <s v="SBT Sports"/>
        <s v="Sports Explained"/>
        <s v="Savage Brick Sports"/>
        <s v="Sky Sports Cricket"/>
        <s v="Fubo Sports"/>
        <s v="CBS Sports Golazo - Europe"/>
        <s v="Rabbitholebd Sports"/>
        <s v="TVP Sport"/>
        <s v="Sports"/>
        <s v="Sports Gaming Universe"/>
        <s v="JioCinema Sports"/>
        <s v="beIN SPORTS Asia"/>
        <s v="Religion of Sports"/>
        <s v="Nonstop"/>
        <s v="Midco Sports"/>
        <s v="Marmita-sports"/>
        <s v="Genius Sports"/>
        <s v="Rakuten Sports"/>
        <s v="River Falls SPORTS"/>
        <s v="MAGENTA SPORT"/>
        <s v="Seahawks Today by Chat Sports"/>
        <s v="J SPORTS"/>
        <s v="Bomber Sports"/>
        <s v="JD Sports"/>
        <s v="Digital 2 Sports"/>
        <s v="Play Sports"/>
        <s v="Sports United"/>
        <s v="FOX SPORTS AUSTRALIA"/>
        <s v="Kentucky Sports Radio"/>
        <s v="Five Reasons Sports Network"/>
        <s v="Ball State Sports Link"/>
        <s v="beIN SPORTS USA"/>
        <s v="A to Z Sports Dallas"/>
        <s v="News24 Sports"/>
        <s v="Locked On Sports Atlanta"/>
        <s v="Matchroom Multi Sport"/>
        <s v="Montana Sports"/>
        <s v="Dibrou Sports Brasil"/>
        <s v="440 Sports"/>
        <s v="Sky Sport DE"/>
        <s v="Sky Sports F1"/>
        <s v="Sports Injury Physio"/>
        <s v="Prasar Bharati Sports"/>
        <s v="Sky Sports Darts"/>
        <s v="The Sports Fury"/>
        <s v="Jackson Krueger Sports"/>
        <s v="The Action Network: Sports Betting Picks &amp; Tips"/>
        <s v="Dolphins Today by Chat Sports"/>
        <s v="SG Sports TV"/>
        <s v="A to Z Sports Nashville"/>
        <s v="World Sports"/>
        <s v="EA SPORTS FC"/>
        <s v="DR Sports"/>
        <s v="SPORTS GAME MAXIMO"/>
        <s v="UCLA Athletics"/>
        <s v="Baseball Sports"/>
        <s v="The Athletic FC Podcast"/>
        <s v="Sports Card Investor"/>
        <s v="Forever Sports"/>
        <s v="Baddog Sports"/>
        <s v="Chiefs Report by Chat Sports"/>
        <s v="EA SPORTS UFC"/>
        <s v="Whistle"/>
        <s v="القنوات الرياضية السعودية Official Saudi Sports TV"/>
        <s v="Audacy Sports"/>
        <s v="G's Sports Central"/>
        <s v="LI Sports Network"/>
        <s v="JAKIB Sports"/>
        <s v="Zaleski Sports"/>
        <s v="Sports Club"/>
        <s v="Lions Talk by Chat Sports"/>
        <s v="Remember Sports"/>
        <s v="Hoggard Sports"/>
        <s v="NEXT SPORTS"/>
        <s v="Vietnam Sports News"/>
        <s v="GP Sports Cards"/>
        <s v="BTB SPORTS OFICIAL"/>
        <s v="EA SPORTS FC ONLINE THAILAND"/>
        <s v="Barstool Sports"/>
        <s v="EA SPORTS FC Pro"/>
        <s v="AYS Sports"/>
        <s v="Sony Sports Network"/>
        <s v="Helen Yee Sports"/>
        <s v="Sports Direct"/>
        <s v="動滋Sports"/>
        <s v="Ultimate Cleveland Sports Show"/>
        <s v="Sky Sports"/>
        <s v="49ers Report by Chat Sports"/>
        <s v="Table Rock Sports"/>
        <s v="Flow Sport Club"/>
        <s v="Game On Sports"/>
        <s v="KMA Sports"/>
        <s v="X Sports Network"/>
        <s v="SCOTT Sports"/>
        <s v="Supreme Sports"/>
        <s v="International Federation of Sport Climbing"/>
        <s v="TOTAL SPORTS"/>
        <s v="Iqbal Sports"/>
        <s v="Clutch Sports Media"/>
        <s v="Vmax Sports"/>
        <s v="Oaktree Sports"/>
        <s v="Winnipeg Sports Talk"/>
        <s v="Wide World of Sports"/>
        <s v="Best Cable Sports Canal 6 - Oficial"/>
        <s v="Sports &amp; Entertainment"/>
        <s v="CHGO Sports"/>
        <s v="Sports AAB"/>
        <s v="Sky Sport Next"/>
        <s v="NBC Sports Bay Area &amp; California"/>
        <s v="Browns Report by Chat Sports"/>
        <s v="7070Sports."/>
        <s v="Giants Now by Chat Sports"/>
        <s v="BFBS Sports Show"/>
        <s v="SL SPORTS"/>
        <s v="Roo Sports"/>
        <s v="UAM Sports"/>
        <s v="Outdoor sports in srilanka"/>
        <s v="Sport Thailand"/>
        <s v="FOX Sports"/>
        <s v="DNVR Sports"/>
        <s v="PPTV SPORTS"/>
        <s v="SPORTS ADS"/>
        <s v="Echoboom Sports"/>
        <s v="Virginia Sports TV"/>
        <s v="Sports With Harshana"/>
        <s v="OneNimit Sports Tamil"/>
        <s v="NBC Sports Philadelphia"/>
        <s v="CBS Sports Radio"/>
        <s v="DAN Sports"/>
        <s v="ADT SPORTS"/>
        <s v="NBC Sports"/>
        <s v="SaddleRock Sports Network"/>
        <s v="Quang Tùng Sports"/>
        <s v="Raiders Report by Chat Sports"/>
        <s v="Sports Wars"/>
        <s v="Amazon Prime Video Sport"/>
        <s v="DP Education Sports"/>
        <s v="日テレスポーツ【公式】"/>
        <s v="NTV Sports"/>
        <s v="J SPORTS 野球【公式】"/>
        <s v="PHNX Sports"/>
        <s v="SOMOY SPORTS"/>
        <s v="ThatsGoodSports"/>
        <s v="Deník Sport"/>
        <s v="Sactown Sports 1140"/>
        <s v="SPU Sports"/>
        <s v="World Athletics"/>
        <s v="Driving Sports TV"/>
        <s v="USA TODAY Sports"/>
        <s v="Ada Derana Sports"/>
        <s v="Daily Sports With Rahul"/>
        <s v="TNL Sports"/>
        <s v="Sports Yaari"/>
        <s v="ABS-CBN Sports"/>
        <s v="Sports Cards Live"/>
        <s v="Jim Riley | BALLCAP Sports"/>
        <s v="Knicks Now by Chat Sports"/>
        <s v="Menace 2 Sports"/>
        <s v="Virginia Tech Athletics"/>
        <s v="A Plus Sports"/>
        <s v="Jersey Sports Zone"/>
        <s v="Cowboys Report by Chat Sports"/>
        <s v="519 Sports Online"/>
        <s v="H&amp;R Sports"/>
        <s v="Bears Now by Chat Sports"/>
        <s v="SPORTS  DAGAYA"/>
        <s v="Athletic Interest"/>
        <s v="Locked On Sports Today"/>
        <s v="Stark Raving Sports"/>
        <s v="Sigma Sports"/>
        <s v="SPORTS TO LIFE"/>
        <s v="Steelers Talk by Chat Sports"/>
        <s v="Sharpe Sports"/>
        <s v="Sports Show"/>
        <s v="Racing Lanka Sports"/>
        <s v="Sports BB"/>
        <s v="Bob Does Sports"/>
        <s v="Refugio Sports Network"/>
        <s v="Motor Sports Network"/>
        <s v="Señal Sports"/>
        <s v="BBN SPORTS"/>
        <s v="The Sports Breakdown"/>
        <s v="Hightop Sports"/>
        <s v="Haritha Sports"/>
        <s v="Shai Sports"/>
        <s v="Action Sports Jax"/>
        <s v="Bookit Sports"/>
        <s v="One Sports"/>
        <s v="Spacequake Sports"/>
        <s v="Ceylon Sports"/>
        <s v="Sports Lanka"/>
        <s v="Indiana Sports Beat Radio with Jim Coyle"/>
        <s v="Sports Now"/>
        <s v="Denver Sports"/>
        <s v="Trending Sports தமிழ்"/>
        <s v="York Sports Network"/>
        <s v="Athiradi sports"/>
        <s v="Run Pure Sports | We Build Winners. DFS &amp; Bets"/>
        <s v="නව වාසනා - Sports Team"/>
        <s v="UNFAIR SPORTS"/>
        <s v="LION SPORTS"/>
        <s v="Mostly Sports With Mark Titus and Brandon Walker"/>
        <s v="Law Nation Sports"/>
        <s v="Powcast Sports"/>
        <s v="Cric Smash Sports"/>
        <s v="In &amp; Out Sports"/>
        <s v="ARV Loshan Sports"/>
        <s v="The Basement Sports Network"/>
        <s v="CM Sports"/>
        <s v="Ten 10 Sports"/>
        <s v="Natty State Sports"/>
        <s v="LANKA SPORTS"/>
        <s v="Ufit sports Academy"/>
        <s v="Baseball Hockey Sports Crew - Topic"/>
        <s v="BBi Global Sports"/>
        <s v="Top Sports Debate"/>
        <s v="iiN SPORTS LIVE"/>
        <s v="K Sports HD"/>
        <s v="Elle Sri Lankan Sport"/>
        <s v="Asenso Sports Channel Official"/>
        <s v="DJ Sports live"/>
        <s v="Reezonn Sports Network"/>
        <s v="BROTHERS SPORTS LIVE"/>
        <s v="Dad Sports - Topic"/>
        <s v="Blue Blood Sports TV"/>
        <s v="Sports Gaming"/>
        <s v="Sports Coach - Topic"/>
        <s v="Sports with Dila"/>
        <s v="Dika Sports"/>
        <s v="Lifestyle Sports"/>
        <s v="The Sports Manager LK"/>
        <s v="Traditional Village Sports"/>
        <s v="Sports 4X4"/>
        <s v="Urwagasabo Sports"/>
        <s v="RJ Duke Sports"/>
        <s v="Sports Bucket"/>
        <s v="Sports Communicator"/>
        <s v="WORLD SPORT CRICKET"/>
        <s v="Gramin Sports Live"/>
        <s v="The Athletic Sports Band - Topic"/>
        <s v="ALL SPORTS uniT"/>
        <s v="CHE Sports"/>
        <s v="Sports Zoom"/>
        <s v="SPORTS VIEW"/>
        <s v="contortion and sports for life"/>
        <s v="JANA SPORTS"/>
        <s v="sports life"/>
        <s v="Sports-i"/>
        <s v="YOU SPORTS"/>
        <s v="Sports Vibes TV1"/>
        <s v="NAMANA SPORTS"/>
        <s v="Sports Hub"/>
        <s v="Wickramagalle Sports Academy"/>
        <s v="Sports World"/>
        <s v="Team of Sports Science TOSS"/>
        <s v="S sports"/>
        <s v="Sports Car With Saranga"/>
        <s v="STYP Sports"/>
        <s v="Yankee Sports Zone"/>
        <s v="PA Sports - Topic"/>
        <s v="Panini Sports Academy (Fußball) - Topic"/>
        <s v="Lead Sports"/>
        <s v="RK Sports Kingdom"/>
        <s v="SEPN Sports"/>
        <s v="IL SPORTS"/>
        <s v="Sri Lanka Sports"/>
        <s v="sports. - Topic"/>
        <s v="Sports - Topic"/>
        <s v="HD Sports"/>
        <s v="SLK CRICKET SPORTS"/>
        <s v="SL Games &amp; Sports"/>
        <s v="Dan Sports - Topic"/>
        <s v="Sports home"/>
        <s v="Remember Sports - Topic"/>
        <s v="brother sports - Topic"/>
        <s v="Sports Saga"/>
        <s v="MD SPORTS"/>
        <s v="SL TECH LALLNS SPORTS"/>
        <s v="Sports with Kaveesha"/>
        <s v="AR Sports"/>
        <s v="Sports X"/>
        <s v="Entertainment &amp; Sports &amp; World &amp; Animals"/>
        <s v="vhs sports - Topic"/>
        <s v="Gaja Sports"/>
        <s v="SPORTS STUDIO+"/>
        <s v="UD Sports"/>
        <s v="Sports Ground"/>
        <s v="Sports Ringtones, World Cup Soccer, Football &amp; More Comedy Messages - Topic"/>
        <s v="Good Sport - Topic"/>
        <s v="SONYHDHL-Sports"/>
        <s v="DON SPORTS GAMING ONLIVE"/>
        <s v="Sports Quiz"/>
        <s v="SPORTS SHORTS"/>
        <s v="Tten sports"/>
        <s v="Sports Scope 360"/>
        <s v="Slow Sports - Topic"/>
        <s v="TOP SPORTS LK"/>
        <s v="Sports &amp; Music - Topic"/>
        <s v="Go Sports"/>
        <s v="El Negro Sports Tv - Topic"/>
        <s v="Sports for Kin - Topic"/>
        <s v="The Sports - Topic"/>
        <s v="The Big Picture: Sports in Society Podcast - Topic"/>
        <s v="We The Sports - Topic"/>
        <s v="Sports Hits"/>
        <s v="Sports Via YT"/>
        <s v="Sports Shorts X"/>
        <s v="V SPORTS"/>
        <s v="Sports.lk(ස්පෝට්ස්)"/>
        <s v="Sports Editz"/>
        <s v="KLUTCH Sports"/>
        <s v="Sports Dreams - Topic"/>
        <s v="ria sports"/>
        <s v="Soft Sports - Topic"/>
        <s v="Sports? Sports. - Topic"/>
        <s v="Sports 1st"/>
        <s v="NTR SPORTS"/>
        <s v="Rabbaniyyah Sports Club"/>
        <s v="Alpaca Sports - Topic"/>
        <s v="Sports Tamil"/>
        <s v="sports.lk07"/>
        <s v="RAGEL MOTO SPORTS"/>
        <s v="sports-D site"/>
        <s v="Games &amp; Sports"/>
        <s v="Sri Sports House"/>
        <s v="Funny Tv Sports"/>
        <s v="Sports Plus"/>
        <s v="Estadat Sports - Topic"/>
        <s v="YT Sports"/>
        <s v="KNT Ekamuthu Sports Club"/>
        <s v="Bad At Sports - Topic"/>
        <s v="Sports Analyst"/>
        <s v="Vamos Sports"/>
        <s v="🥀Sports Time🥀"/>
        <s v="Athletics - Topic"/>
        <s v="JA Sports channel"/>
        <s v="The Sports Geek"/>
        <s v="Sports Bro"/>
        <s v="Sports with - සඳා"/>
        <s v="Sports Nis"/>
        <s v="Sports Day - Topic"/>
        <s v="sk sports edit#😎"/>
        <s v="PERADENIYA SPORTS CLUB"/>
        <s v="World Sports Highlights"/>
        <s v="US Sports YT"/>
        <s v="Sports Collective - Topic"/>
        <s v="Sport Power - Topic"/>
        <s v="SL Sports Cafe"/>
        <s v="Health &amp; Sports"/>
        <s v="YR Music 🎶 and sports ⚽tv"/>
        <s v="Cricket &amp; Sports"/>
        <s v="sports car, jeep, bike"/>
        <s v="Pure Sport - Topic"/>
        <s v="GGA SPORTS"/>
        <s v="wow Sports photography"/>
        <s v="sports denki department - Topic"/>
        <s v="AB Sports HD"/>
        <s v="💀  •SPORTS• ⚽️"/>
        <s v="Sports Here"/>
        <s v="wold sports"/>
        <s v="Royal Sports Club"/>
        <s v="CR Sports 46"/>
        <s v="O.M.V Sports"/>
        <s v="sports edition"/>
        <s v="Tik sports"/>
        <s v="Sports Bra - Topic"/>
        <s v="Sports Stars Sports Club (SSSC)"/>
        <s v="Le Sport - Topic"/>
        <s v="sports dayya"/>
        <s v="Sports Tv"/>
        <s v="HM Sports"/>
        <s v="ALL SPORTS"/>
        <s v="MD SPORTS🏏"/>
        <s v="sports@#short"/>
        <s v="SN SPORTS"/>
        <s v="PR SPORTS"/>
        <s v="Blink Of Sports"/>
        <s v="G&amp;N Sports 1st"/>
        <s v="Xeagle Sports"/>
        <s v="Wheelchair Sports Camp - Topic"/>
        <s v="KGK Sports"/>
        <s v="Stereo Sport - Topic"/>
        <s v="SPORTS UPDATES"/>
        <s v="Sports pastime"/>
        <s v="Sports Film Fest - Topic"/>
        <s v="Poor Sports. - Topic"/>
        <s v="NIC Sports"/>
        <s v="CHAYO Sports"/>
        <s v="Old Sport - Topic"/>
        <s v="fire sports"/>
        <s v="SPORT CLUB"/>
        <s v="Sports Reference - Topic"/>
        <s v="MRH Sports"/>
        <s v="FastTrack Sports"/>
        <s v="sports j"/>
        <s v="Kibi Sports - Topic"/>
        <s v="I.K. Dairo &amp; His Blues Sport Band - Topic"/>
        <s v="Cordula Sport - Topic"/>
        <s v="unit sports"/>
        <s v="Julinho Sporting FC - Topic"/>
        <s v="Cee Sport Big Ceeza - Topic"/>
        <s v="World Sports Shorts"/>
        <s v="JM SPORTS"/>
        <s v="Sports Runner"/>
        <s v="Sports Boyfriend - Topic"/>
        <s v="Watha Sports"/>
        <s v="Sports First"/>
        <s v="R Sports network"/>
        <s v="SPORTS 359'"/>
        <s v="Sports Feats"/>
        <s v="Sports Pavilion"/>
        <s v="SHAKTHI SPORTS CLUB"/>
        <s v="Sports Plazz"/>
        <s v="Sports 365 Live Chanel"/>
        <s v="A Sports Network"/>
        <s v="TC sports club"/>
        <s v="Sports Network"/>
      </sharedItems>
    </cacheField>
    <cacheField name="Start Date" numFmtId="14">
      <sharedItems containsSemiMixedTypes="0" containsNonDate="0" containsDate="1" containsString="0" minDate="2005-12-27T00:00:00" maxDate="2024-03-08T00:00:00" count="469">
        <d v="2020-10-02T00:00:00"/>
        <d v="2016-12-22T00:00:00"/>
        <d v="2015-07-06T00:00:00"/>
        <d v="2019-09-17T00:00:00"/>
        <d v="2014-02-21T00:00:00"/>
        <d v="2013-01-02T00:00:00"/>
        <d v="2018-02-21T00:00:00"/>
        <d v="2019-08-15T00:00:00"/>
        <d v="2019-10-24T00:00:00"/>
        <d v="2017-08-03T00:00:00"/>
        <d v="2016-10-14T00:00:00"/>
        <d v="2018-01-25T00:00:00"/>
        <d v="2016-05-13T00:00:00"/>
        <d v="2014-08-08T00:00:00"/>
        <d v="2013-12-05T00:00:00"/>
        <d v="2007-07-19T00:00:00"/>
        <d v="2011-08-24T00:00:00"/>
        <d v="2009-10-30T00:00:00"/>
        <d v="2013-04-18T00:00:00"/>
        <d v="2016-06-09T00:00:00"/>
        <d v="2014-02-03T00:00:00"/>
        <d v="2014-05-28T00:00:00"/>
        <d v="2011-08-23T00:00:00"/>
        <d v="2021-06-08T00:00:00"/>
        <d v="2021-05-25T00:00:00"/>
        <d v="2006-07-13T00:00:00"/>
        <d v="2018-10-16T00:00:00"/>
        <d v="2016-11-30T00:00:00"/>
        <d v="2019-05-05T00:00:00"/>
        <d v="2006-03-06T00:00:00"/>
        <d v="2015-07-10T00:00:00"/>
        <d v="2017-05-11T00:00:00"/>
        <d v="2013-11-23T00:00:00"/>
        <d v="2016-08-11T00:00:00"/>
        <d v="2017-01-08T00:00:00"/>
        <d v="2007-09-06T00:00:00"/>
        <d v="2014-09-17T00:00:00"/>
        <d v="2013-11-16T00:00:00"/>
        <d v="2017-09-05T00:00:00"/>
        <d v="2019-08-01T00:00:00"/>
        <d v="2019-05-14T00:00:00"/>
        <d v="2020-11-07T00:00:00"/>
        <d v="2013-08-21T00:00:00"/>
        <d v="2012-05-15T00:00:00"/>
        <d v="2014-08-27T00:00:00"/>
        <d v="2013-09-13T00:00:00"/>
        <d v="2014-04-10T00:00:00"/>
        <d v="2020-06-26T00:00:00"/>
        <d v="2020-09-19T00:00:00"/>
        <d v="2013-03-15T00:00:00"/>
        <d v="2013-11-08T00:00:00"/>
        <d v="2009-05-01T00:00:00"/>
        <d v="2005-12-27T00:00:00"/>
        <d v="2006-12-11T00:00:00"/>
        <d v="2016-05-12T00:00:00"/>
        <d v="2014-12-16T00:00:00"/>
        <d v="2016-06-02T00:00:00"/>
        <d v="2020-08-06T00:00:00"/>
        <d v="2019-07-14T00:00:00"/>
        <d v="2009-03-05T00:00:00"/>
        <d v="2007-12-19T00:00:00"/>
        <d v="2016-12-05T00:00:00"/>
        <d v="2012-11-06T00:00:00"/>
        <d v="2022-08-01T00:00:00"/>
        <d v="2012-03-07T00:00:00"/>
        <d v="2021-04-22T00:00:00"/>
        <d v="2010-07-14T00:00:00"/>
        <d v="2022-05-25T00:00:00"/>
        <d v="2008-01-24T00:00:00"/>
        <d v="2019-10-03T00:00:00"/>
        <d v="2022-03-16T00:00:00"/>
        <d v="2014-02-14T00:00:00"/>
        <d v="2021-09-21T00:00:00"/>
        <d v="2017-01-21T00:00:00"/>
        <d v="2020-02-27T00:00:00"/>
        <d v="2019-07-01T00:00:00"/>
        <d v="2021-07-30T00:00:00"/>
        <d v="2015-11-03T00:00:00"/>
        <d v="2011-03-21T00:00:00"/>
        <d v="2015-06-10T00:00:00"/>
        <d v="2011-04-26T00:00:00"/>
        <d v="2022-08-18T00:00:00"/>
        <d v="2017-01-03T00:00:00"/>
        <d v="2017-05-01T00:00:00"/>
        <d v="2020-01-08T00:00:00"/>
        <d v="2010-06-09T00:00:00"/>
        <d v="2019-01-04T00:00:00"/>
        <d v="2020-04-28T00:00:00"/>
        <d v="2018-01-10T00:00:00"/>
        <d v="2014-06-26T00:00:00"/>
        <d v="2017-11-14T00:00:00"/>
        <d v="2020-05-29T00:00:00"/>
        <d v="2011-03-09T00:00:00"/>
        <d v="2013-08-16T00:00:00"/>
        <d v="2010-04-13T00:00:00"/>
        <d v="2021-06-03T00:00:00"/>
        <d v="2011-07-01T00:00:00"/>
        <d v="2017-05-25T00:00:00"/>
        <d v="2012-08-14T00:00:00"/>
        <d v="2018-09-06T00:00:00"/>
        <d v="2018-03-28T00:00:00"/>
        <d v="2009-08-27T00:00:00"/>
        <d v="2012-07-16T00:00:00"/>
        <d v="2020-01-09T00:00:00"/>
        <d v="2019-04-01T00:00:00"/>
        <d v="2014-09-30T00:00:00"/>
        <d v="2016-02-12T00:00:00"/>
        <d v="2020-01-14T00:00:00"/>
        <d v="2020-06-24T00:00:00"/>
        <d v="2009-02-19T00:00:00"/>
        <d v="2018-07-17T00:00:00"/>
        <d v="2014-06-28T00:00:00"/>
        <d v="2014-11-18T00:00:00"/>
        <d v="2021-11-17T00:00:00"/>
        <d v="2016-10-07T00:00:00"/>
        <d v="2017-04-12T00:00:00"/>
        <d v="2018-01-24T00:00:00"/>
        <d v="2020-05-30T00:00:00"/>
        <d v="2010-04-30T00:00:00"/>
        <d v="2016-01-25T00:00:00"/>
        <d v="2016-05-06T00:00:00"/>
        <d v="2009-07-26T00:00:00"/>
        <d v="2016-04-08T00:00:00"/>
        <d v="2017-09-02T00:00:00"/>
        <d v="2013-08-19T00:00:00"/>
        <d v="2016-11-16T00:00:00"/>
        <d v="2019-05-20T00:00:00"/>
        <d v="2019-05-15T00:00:00"/>
        <d v="2020-05-14T00:00:00"/>
        <d v="2014-10-09T00:00:00"/>
        <d v="2019-10-23T00:00:00"/>
        <d v="2017-04-18T00:00:00"/>
        <d v="2006-09-12T00:00:00"/>
        <d v="2011-04-01T00:00:00"/>
        <d v="2021-10-23T00:00:00"/>
        <d v="2013-08-01T00:00:00"/>
        <d v="2018-09-18T00:00:00"/>
        <d v="2017-01-05T00:00:00"/>
        <d v="2019-05-21T00:00:00"/>
        <d v="2019-03-19T00:00:00"/>
        <d v="2019-10-31T00:00:00"/>
        <d v="2020-10-21T00:00:00"/>
        <d v="2022-06-18T00:00:00"/>
        <d v="2020-07-26T00:00:00"/>
        <d v="2023-04-28T00:00:00"/>
        <d v="2013-06-05T00:00:00"/>
        <d v="2013-05-17T00:00:00"/>
        <d v="2017-03-23T00:00:00"/>
        <d v="2017-11-21T00:00:00"/>
        <d v="2012-03-31T00:00:00"/>
        <d v="2014-12-05T00:00:00"/>
        <d v="2022-06-22T00:00:00"/>
        <d v="2021-08-26T00:00:00"/>
        <d v="2022-03-29T00:00:00"/>
        <d v="2015-09-15T00:00:00"/>
        <d v="2019-07-08T00:00:00"/>
        <d v="2015-04-17T00:00:00"/>
        <d v="2021-08-30T00:00:00"/>
        <d v="2016-10-04T00:00:00"/>
        <d v="2020-11-13T00:00:00"/>
        <d v="2022-07-11T00:00:00"/>
        <d v="2008-08-11T00:00:00"/>
        <d v="2023-02-20T00:00:00"/>
        <d v="2009-12-25T00:00:00"/>
        <d v="2017-01-17T00:00:00"/>
        <d v="2022-10-15T00:00:00"/>
        <d v="2020-01-28T00:00:00"/>
        <d v="2021-06-25T00:00:00"/>
        <d v="2017-01-14T00:00:00"/>
        <d v="2021-02-17T00:00:00"/>
        <d v="2017-11-17T00:00:00"/>
        <d v="2021-08-15T00:00:00"/>
        <d v="2016-02-13T00:00:00"/>
        <d v="2015-06-17T00:00:00"/>
        <d v="2022-03-27T00:00:00"/>
        <d v="2013-12-06T00:00:00"/>
        <d v="2017-01-07T00:00:00"/>
        <d v="2020-05-31T00:00:00"/>
        <d v="2017-10-17T00:00:00"/>
        <d v="2011-10-07T00:00:00"/>
        <d v="2023-06-26T00:00:00"/>
        <d v="2022-02-16T00:00:00"/>
        <d v="2015-01-02T00:00:00"/>
        <d v="2022-06-02T00:00:00"/>
        <d v="2006-06-05T00:00:00"/>
        <d v="2015-07-31T00:00:00"/>
        <d v="2023-07-31T00:00:00"/>
        <d v="2022-12-17T00:00:00"/>
        <d v="2013-05-29T00:00:00"/>
        <d v="2014-08-28T00:00:00"/>
        <d v="2023-12-28T00:00:00"/>
        <d v="2023-04-23T00:00:00"/>
        <d v="2016-07-20T00:00:00"/>
        <d v="2015-07-13T00:00:00"/>
        <d v="2022-11-28T00:00:00"/>
        <d v="2017-06-15T00:00:00"/>
        <d v="2012-02-07T00:00:00"/>
        <d v="2022-07-10T00:00:00"/>
        <d v="2020-06-08T00:00:00"/>
        <d v="2018-02-13T00:00:00"/>
        <d v="2017-01-02T00:00:00"/>
        <d v="2020-02-11T00:00:00"/>
        <d v="2023-12-19T00:00:00"/>
        <d v="2022-03-14T00:00:00"/>
        <d v="2018-10-30T00:00:00"/>
        <d v="2023-01-24T00:00:00"/>
        <d v="2021-09-09T00:00:00"/>
        <d v="2018-05-06T00:00:00"/>
        <d v="2012-06-01T00:00:00"/>
        <d v="2019-02-15T00:00:00"/>
        <d v="2018-03-20T00:00:00"/>
        <d v="2009-07-30T00:00:00"/>
        <d v="2010-03-05T00:00:00"/>
        <d v="2006-03-17T00:00:00"/>
        <d v="2014-11-06T00:00:00"/>
        <d v="2022-02-10T00:00:00"/>
        <d v="2023-10-08T00:00:00"/>
        <d v="2017-01-28T00:00:00"/>
        <d v="2021-03-05T00:00:00"/>
        <d v="2009-01-19T00:00:00"/>
        <d v="2020-04-12T00:00:00"/>
        <d v="2007-01-19T00:00:00"/>
        <d v="2021-07-16T00:00:00"/>
        <d v="2019-03-07T00:00:00"/>
        <d v="2012-10-17T00:00:00"/>
        <d v="2014-05-01T00:00:00"/>
        <d v="2018-06-04T00:00:00"/>
        <d v="2017-10-13T00:00:00"/>
        <d v="2023-09-08T00:00:00"/>
        <d v="2020-01-06T00:00:00"/>
        <d v="2022-01-09T00:00:00"/>
        <d v="2019-11-20T00:00:00"/>
        <d v="2022-05-13T00:00:00"/>
        <d v="2017-05-30T00:00:00"/>
        <d v="2011-09-05T00:00:00"/>
        <d v="2023-12-03T00:00:00"/>
        <d v="2020-06-01T00:00:00"/>
        <d v="2016-03-03T00:00:00"/>
        <d v="2012-03-29T00:00:00"/>
        <d v="2019-08-28T00:00:00"/>
        <d v="2021-09-30T00:00:00"/>
        <d v="2021-09-05T00:00:00"/>
        <d v="2017-10-31T00:00:00"/>
        <d v="2023-08-28T00:00:00"/>
        <d v="2019-05-09T00:00:00"/>
        <d v="2021-08-22T00:00:00"/>
        <d v="2021-06-09T00:00:00"/>
        <d v="2023-04-26T00:00:00"/>
        <d v="2023-08-16T00:00:00"/>
        <d v="2019-01-10T00:00:00"/>
        <d v="2020-02-23T00:00:00"/>
        <d v="2015-02-09T00:00:00"/>
        <d v="2015-10-26T00:00:00"/>
        <d v="2018-11-05T00:00:00"/>
        <d v="2023-10-19T00:00:00"/>
        <d v="2018-08-15T00:00:00"/>
        <d v="2022-03-22T00:00:00"/>
        <d v="2010-01-28T00:00:00"/>
        <d v="2023-01-14T00:00:00"/>
        <d v="2023-03-15T00:00:00"/>
        <d v="2020-04-15T00:00:00"/>
        <d v="2023-07-15T00:00:00"/>
        <d v="2016-11-21T00:00:00"/>
        <d v="2023-08-10T00:00:00"/>
        <d v="2023-08-02T00:00:00"/>
        <d v="2013-12-27T00:00:00"/>
        <d v="2018-10-18T00:00:00"/>
        <d v="2020-05-09T00:00:00"/>
        <d v="2024-01-17T00:00:00"/>
        <d v="2008-05-02T00:00:00"/>
        <d v="2022-07-12T00:00:00"/>
        <d v="2020-06-27T00:00:00"/>
        <d v="2022-02-12T00:00:00"/>
        <d v="2023-11-15T00:00:00"/>
        <d v="2016-06-01T00:00:00"/>
        <d v="2024-01-01T00:00:00"/>
        <d v="2016-02-26T00:00:00"/>
        <d v="2021-06-06T00:00:00"/>
        <d v="2022-02-27T00:00:00"/>
        <d v="2023-02-14T00:00:00"/>
        <d v="2021-03-29T00:00:00"/>
        <d v="2022-10-12T00:00:00"/>
        <d v="2023-03-21T00:00:00"/>
        <d v="2024-02-15T00:00:00"/>
        <d v="2020-08-02T00:00:00"/>
        <d v="2023-10-23T00:00:00"/>
        <d v="2017-05-23T00:00:00"/>
        <d v="2017-06-25T00:00:00"/>
        <d v="2023-02-12T00:00:00"/>
        <d v="2016-12-03T00:00:00"/>
        <d v="2022-10-26T00:00:00"/>
        <d v="2015-04-05T00:00:00"/>
        <d v="2021-04-06T00:00:00"/>
        <d v="2022-03-19T00:00:00"/>
        <d v="2023-12-14T00:00:00"/>
        <d v="2018-09-13T00:00:00"/>
        <d v="2023-11-03T00:00:00"/>
        <d v="2023-04-10T00:00:00"/>
        <d v="2021-05-16T00:00:00"/>
        <d v="2024-01-14T00:00:00"/>
        <d v="2015-09-18T00:00:00"/>
        <d v="2021-05-26T00:00:00"/>
        <d v="2023-11-10T00:00:00"/>
        <d v="2021-03-08T00:00:00"/>
        <d v="2023-02-25T00:00:00"/>
        <d v="2020-11-01T00:00:00"/>
        <d v="2022-03-12T00:00:00"/>
        <d v="2017-07-23T00:00:00"/>
        <d v="2023-07-03T00:00:00"/>
        <d v="2023-03-11T00:00:00"/>
        <d v="2019-10-17T00:00:00"/>
        <d v="2013-09-08T00:00:00"/>
        <d v="2020-11-22T00:00:00"/>
        <d v="2023-01-01T00:00:00"/>
        <d v="2023-12-06T00:00:00"/>
        <d v="2023-12-23T00:00:00"/>
        <d v="2013-12-21T00:00:00"/>
        <d v="2020-07-08T00:00:00"/>
        <d v="2023-06-02T00:00:00"/>
        <d v="2023-11-23T00:00:00"/>
        <d v="2022-09-19T00:00:00"/>
        <d v="2012-01-17T00:00:00"/>
        <d v="2017-04-25T00:00:00"/>
        <d v="2018-10-23T00:00:00"/>
        <d v="2022-09-04T00:00:00"/>
        <d v="2021-02-16T00:00:00"/>
        <d v="2023-10-25T00:00:00"/>
        <d v="2021-04-27T00:00:00"/>
        <d v="2023-02-15T00:00:00"/>
        <d v="2016-08-07T00:00:00"/>
        <d v="2023-03-08T00:00:00"/>
        <d v="2021-10-12T00:00:00"/>
        <d v="2021-03-25T00:00:00"/>
        <d v="2024-02-19T00:00:00"/>
        <d v="2023-11-30T00:00:00"/>
        <d v="2023-03-24T00:00:00"/>
        <d v="2023-09-17T00:00:00"/>
        <d v="2023-09-23T00:00:00"/>
        <d v="2022-02-08T00:00:00"/>
        <d v="2023-09-26T00:00:00"/>
        <d v="2024-01-21T00:00:00"/>
        <d v="2023-02-23T00:00:00"/>
        <d v="2021-11-04T00:00:00"/>
        <d v="2018-08-17T00:00:00"/>
        <d v="2024-01-29T00:00:00"/>
        <d v="2023-08-24T00:00:00"/>
        <d v="2022-11-30T00:00:00"/>
        <d v="2023-12-01T00:00:00"/>
        <d v="2021-09-03T00:00:00"/>
        <d v="2023-10-11T00:00:00"/>
        <d v="2022-07-14T00:00:00"/>
        <d v="2022-10-16T00:00:00"/>
        <d v="2022-01-12T00:00:00"/>
        <d v="2023-10-04T00:00:00"/>
        <d v="2023-01-03T00:00:00"/>
        <d v="2016-05-11T00:00:00"/>
        <d v="2013-07-13T00:00:00"/>
        <d v="2020-07-15T00:00:00"/>
        <d v="2018-02-07T00:00:00"/>
        <d v="2024-03-07T00:00:00"/>
        <d v="2016-11-29T00:00:00"/>
        <d v="2022-06-04T00:00:00"/>
        <d v="2023-12-31T00:00:00"/>
        <d v="2019-06-14T00:00:00"/>
        <d v="2024-02-12T00:00:00"/>
        <d v="2014-05-02T00:00:00"/>
        <d v="2019-09-05T00:00:00"/>
        <d v="2023-05-27T00:00:00"/>
        <d v="2018-12-06T00:00:00"/>
        <d v="2024-02-21T00:00:00"/>
        <d v="2023-08-03T00:00:00"/>
        <d v="2022-05-07T00:00:00"/>
        <d v="2013-11-29T00:00:00"/>
        <d v="2017-06-26T00:00:00"/>
        <d v="2017-11-01T00:00:00"/>
        <d v="2021-04-02T00:00:00"/>
        <d v="2016-07-05T00:00:00"/>
        <d v="2023-11-01T00:00:00"/>
        <d v="2018-11-18T00:00:00"/>
        <d v="2023-10-26T00:00:00"/>
        <d v="2021-10-05T00:00:00"/>
        <d v="2023-11-08T00:00:00"/>
        <d v="2022-03-25T00:00:00"/>
        <d v="2023-12-07T00:00:00"/>
        <d v="2014-03-11T00:00:00"/>
        <d v="2023-01-15T00:00:00"/>
        <d v="2023-02-28T00:00:00"/>
        <d v="2021-01-26T00:00:00"/>
        <d v="2022-06-23T00:00:00"/>
        <d v="2023-12-04T00:00:00"/>
        <d v="2022-09-23T00:00:00"/>
        <d v="2020-04-08T00:00:00"/>
        <d v="2023-10-24T00:00:00"/>
        <d v="2021-01-15T00:00:00"/>
        <d v="2018-10-27T00:00:00"/>
        <d v="2023-11-25T00:00:00"/>
        <d v="2024-03-01T00:00:00"/>
        <d v="2022-09-28T00:00:00"/>
        <d v="2022-10-03T00:00:00"/>
        <d v="2016-04-16T00:00:00"/>
        <d v="2024-01-10T00:00:00"/>
        <d v="2022-05-21T00:00:00"/>
        <d v="2017-03-06T00:00:00"/>
        <d v="2020-10-11T00:00:00"/>
        <d v="2016-12-25T00:00:00"/>
        <d v="2023-04-04T00:00:00"/>
        <d v="2023-03-29T00:00:00"/>
        <d v="2023-05-30T00:00:00"/>
        <d v="2023-11-24T00:00:00"/>
        <d v="2023-11-17T00:00:00"/>
        <d v="2021-02-07T00:00:00"/>
        <d v="2023-06-06T00:00:00"/>
        <d v="2021-12-11T00:00:00"/>
        <d v="2023-09-04T00:00:00"/>
        <d v="2023-06-05T00:00:00"/>
        <d v="2023-03-03T00:00:00"/>
        <d v="2023-02-06T00:00:00"/>
        <d v="2023-05-13T00:00:00"/>
        <d v="2023-07-16T00:00:00"/>
        <d v="2013-12-20T00:00:00"/>
        <d v="2022-06-03T00:00:00"/>
        <d v="2018-02-16T00:00:00"/>
        <d v="2023-02-04T00:00:00"/>
        <d v="2022-09-10T00:00:00"/>
        <d v="2022-05-29T00:00:00"/>
        <d v="2020-05-24T00:00:00"/>
        <d v="2020-12-16T00:00:00"/>
        <d v="2020-11-04T00:00:00"/>
        <d v="2016-03-18T00:00:00"/>
        <d v="2023-09-02T00:00:00"/>
        <d v="2021-10-27T00:00:00"/>
        <d v="2022-12-22T00:00:00"/>
        <d v="2017-01-09T00:00:00"/>
        <d v="2024-02-06T00:00:00"/>
        <d v="2018-10-24T00:00:00"/>
        <d v="2023-03-27T00:00:00"/>
        <d v="2021-08-24T00:00:00"/>
        <d v="2023-08-04T00:00:00"/>
        <d v="2023-03-09T00:00:00"/>
        <d v="2020-04-18T00:00:00"/>
        <d v="2023-10-16T00:00:00"/>
        <d v="2023-04-11T00:00:00"/>
        <d v="2023-07-30T00:00:00"/>
        <d v="2022-11-02T00:00:00"/>
        <d v="2022-12-23T00:00:00"/>
        <d v="2023-07-17T00:00:00"/>
        <d v="2023-06-13T00:00:00"/>
        <d v="2021-03-26T00:00:00"/>
        <d v="2023-06-16T00:00:00"/>
        <d v="2023-08-30T00:00:00"/>
        <d v="2023-12-15T00:00:00"/>
        <d v="2023-12-16T00:00:00"/>
        <d v="2023-09-24T00:00:00"/>
        <d v="2023-05-19T00:00:00"/>
        <d v="2023-07-04T00:00:00"/>
        <d v="2023-03-10T00:00:00"/>
        <d v="2023-08-09T00:00:00"/>
        <d v="2020-08-22T00:00:00"/>
        <d v="2023-02-21T00:00:00"/>
        <d v="2020-06-16T00:00:00"/>
        <d v="2023-08-15T00:00:00"/>
        <d v="2022-10-24T00:00:00"/>
        <d v="2023-09-01T00:00:00"/>
        <d v="2024-03-03T00:00:00"/>
        <d v="2023-07-08T00:00:00"/>
        <d v="2018-04-17T00:00:00"/>
        <d v="2023-10-06T00:00:00"/>
        <d v="2023-06-28T00:00:00"/>
        <d v="2023-09-16T00:00:00"/>
      </sharedItems>
      <fieldGroup par="11"/>
    </cacheField>
    <cacheField name="Year" numFmtId="0">
      <sharedItems containsSemiMixedTypes="0" containsString="0" containsNumber="1" containsInteger="1" minValue="2005" maxValue="2024" count="20">
        <n v="2020"/>
        <n v="2016"/>
        <n v="2015"/>
        <n v="2019"/>
        <n v="2014"/>
        <n v="2013"/>
        <n v="2018"/>
        <n v="2017"/>
        <n v="2007"/>
        <n v="2011"/>
        <n v="2009"/>
        <n v="2021"/>
        <n v="2006"/>
        <n v="2012"/>
        <n v="2005"/>
        <n v="2022"/>
        <n v="2010"/>
        <n v="2008"/>
        <n v="2023"/>
        <n v="2024"/>
      </sharedItems>
    </cacheField>
    <cacheField name="Generation" numFmtId="14">
      <sharedItems count="3">
        <s v="New Gen"/>
        <s v="Mid Gen"/>
        <s v="Old Gen"/>
      </sharedItems>
    </cacheField>
    <cacheField name="video_count" numFmtId="0">
      <sharedItems containsSemiMixedTypes="0" containsString="0" containsNumber="1" containsInteger="1" minValue="1" maxValue="45199"/>
    </cacheField>
    <cacheField name="view_count" numFmtId="0">
      <sharedItems containsSemiMixedTypes="0" containsString="0" containsNumber="1" containsInteger="1" minValue="1" maxValue="3898162997"/>
    </cacheField>
    <cacheField name="Views/Video" numFmtId="0">
      <sharedItems containsSemiMixedTypes="0" containsString="0" containsNumber="1" minValue="0.5" maxValue="2114248.826923077"/>
    </cacheField>
    <cacheField name="Subcribers/Views" numFmtId="2">
      <sharedItems containsSemiMixedTypes="0" containsString="0" containsNumber="1" minValue="0" maxValue="3.4"/>
    </cacheField>
    <cacheField name="subscriber_count" numFmtId="0">
      <sharedItems containsSemiMixedTypes="0" containsString="0" containsNumber="1" containsInteger="1" minValue="0" maxValue="11200000"/>
    </cacheField>
    <cacheField name="Months (Start Date)" numFmtId="0" databaseField="0">
      <fieldGroup base="1">
        <rangePr groupBy="months" startDate="2005-12-27T00:00:00" endDate="2024-03-08T00:00:00"/>
        <groupItems count="14">
          <s v="&lt;27/12/2005"/>
          <s v="Jan"/>
          <s v="Feb"/>
          <s v="Mar"/>
          <s v="Apr"/>
          <s v="May"/>
          <s v="Jun"/>
          <s v="Jul"/>
          <s v="Aug"/>
          <s v="Sep"/>
          <s v="Oct"/>
          <s v="Nov"/>
          <s v="Dec"/>
          <s v="&gt;08/03/2024"/>
        </groupItems>
      </fieldGroup>
    </cacheField>
    <cacheField name="Quarters (Start Date)" numFmtId="0" databaseField="0">
      <fieldGroup base="1">
        <rangePr groupBy="quarters" startDate="2005-12-27T00:00:00" endDate="2024-03-08T00:00:00"/>
        <groupItems count="6">
          <s v="&lt;27/12/2005"/>
          <s v="Qtr1"/>
          <s v="Qtr2"/>
          <s v="Qtr3"/>
          <s v="Qtr4"/>
          <s v="&gt;08/03/2024"/>
        </groupItems>
      </fieldGroup>
    </cacheField>
    <cacheField name="Years (Start Date)" numFmtId="0" databaseField="0">
      <fieldGroup base="1">
        <rangePr groupBy="years" startDate="2005-12-27T00:00:00" endDate="2024-03-08T00:00:00"/>
        <groupItems count="22">
          <s v="&lt;27/12/2005"/>
          <s v="2005"/>
          <s v="2006"/>
          <s v="2007"/>
          <s v="2008"/>
          <s v="2009"/>
          <s v="2010"/>
          <s v="2011"/>
          <s v="2012"/>
          <s v="2013"/>
          <s v="2014"/>
          <s v="2015"/>
          <s v="2016"/>
          <s v="2017"/>
          <s v="2018"/>
          <s v="2019"/>
          <s v="2020"/>
          <s v="2021"/>
          <s v="2022"/>
          <s v="2023"/>
          <s v="2024"/>
          <s v="&gt;08/03/2024"/>
        </groupItems>
      </fieldGroup>
    </cacheField>
  </cacheFields>
  <extLst>
    <ext xmlns:x14="http://schemas.microsoft.com/office/spreadsheetml/2009/9/main" uri="{725AE2AE-9491-48be-B2B4-4EB974FC3084}">
      <x14:pivotCacheDefinition pivotCacheId="1178515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x v="0"/>
    <x v="0"/>
    <x v="0"/>
    <x v="0"/>
    <n v="14819"/>
    <n v="785671940"/>
    <n v="53017.878399352187"/>
    <n v="5.5112061148575578E-3"/>
    <n v="4330000"/>
  </r>
  <r>
    <x v="1"/>
    <x v="1"/>
    <x v="1"/>
    <x v="1"/>
    <n v="2615"/>
    <n v="309695531"/>
    <n v="118430.41338432122"/>
    <n v="3.2225198625807747E-3"/>
    <n v="998000"/>
  </r>
  <r>
    <x v="2"/>
    <x v="2"/>
    <x v="2"/>
    <x v="1"/>
    <n v="10715"/>
    <n v="3898162997"/>
    <n v="363804.29276714887"/>
    <n v="1.2390451614560846E-3"/>
    <n v="4830000"/>
  </r>
  <r>
    <x v="3"/>
    <x v="3"/>
    <x v="3"/>
    <x v="1"/>
    <n v="2721"/>
    <n v="122005864"/>
    <n v="44838.612274898936"/>
    <n v="3.6555619982331341E-3"/>
    <n v="446000"/>
  </r>
  <r>
    <x v="4"/>
    <x v="4"/>
    <x v="4"/>
    <x v="1"/>
    <n v="5265"/>
    <n v="1373454279"/>
    <n v="260865.01025641026"/>
    <n v="8.1546216508602103E-3"/>
    <n v="11200000"/>
  </r>
  <r>
    <x v="5"/>
    <x v="5"/>
    <x v="5"/>
    <x v="1"/>
    <n v="13478"/>
    <n v="3481324860"/>
    <n v="258296.8437453628"/>
    <n v="1.5166639748753583E-3"/>
    <n v="5280000"/>
  </r>
  <r>
    <x v="6"/>
    <x v="6"/>
    <x v="6"/>
    <x v="1"/>
    <n v="16959"/>
    <n v="463985687"/>
    <n v="27359.259803054425"/>
    <n v="2.823362954297338E-3"/>
    <n v="1310000"/>
  </r>
  <r>
    <x v="7"/>
    <x v="7"/>
    <x v="3"/>
    <x v="1"/>
    <n v="11209"/>
    <n v="2460868921"/>
    <n v="219544.02007315549"/>
    <n v="1.1621911169644131E-3"/>
    <n v="2860000"/>
  </r>
  <r>
    <x v="8"/>
    <x v="8"/>
    <x v="3"/>
    <x v="1"/>
    <n v="217"/>
    <n v="469916"/>
    <n v="2165.5115207373274"/>
    <n v="1.7577609615335506E-2"/>
    <n v="8260"/>
  </r>
  <r>
    <x v="9"/>
    <x v="9"/>
    <x v="7"/>
    <x v="1"/>
    <n v="8182"/>
    <n v="642459655"/>
    <n v="78521.101808848689"/>
    <n v="1.7899956690665658E-3"/>
    <n v="1150000"/>
  </r>
  <r>
    <x v="10"/>
    <x v="9"/>
    <x v="7"/>
    <x v="1"/>
    <n v="1783"/>
    <n v="334982630"/>
    <n v="187875.84408300617"/>
    <n v="1.4538067242471646E-3"/>
    <n v="487000"/>
  </r>
  <r>
    <x v="11"/>
    <x v="10"/>
    <x v="1"/>
    <x v="1"/>
    <n v="6670"/>
    <n v="233650997"/>
    <n v="35030.134482758622"/>
    <n v="2.692049287510637E-3"/>
    <n v="629000"/>
  </r>
  <r>
    <x v="12"/>
    <x v="11"/>
    <x v="6"/>
    <x v="1"/>
    <n v="3533"/>
    <n v="704316160"/>
    <n v="199353.56920464194"/>
    <n v="1.7605729790439565E-3"/>
    <n v="1240000"/>
  </r>
  <r>
    <x v="13"/>
    <x v="12"/>
    <x v="1"/>
    <x v="1"/>
    <n v="2134"/>
    <n v="185773811"/>
    <n v="87054.269447047802"/>
    <n v="3.7895545998138562E-3"/>
    <n v="704000"/>
  </r>
  <r>
    <x v="14"/>
    <x v="13"/>
    <x v="4"/>
    <x v="1"/>
    <n v="5294"/>
    <n v="203054443"/>
    <n v="38355.580468454857"/>
    <n v="1.275519984559018E-3"/>
    <n v="259000"/>
  </r>
  <r>
    <x v="15"/>
    <x v="14"/>
    <x v="5"/>
    <x v="1"/>
    <n v="14816"/>
    <n v="333707202"/>
    <n v="22523.434260259179"/>
    <n v="1.0068706877953446E-2"/>
    <n v="3360000"/>
  </r>
  <r>
    <x v="16"/>
    <x v="15"/>
    <x v="8"/>
    <x v="2"/>
    <n v="24305"/>
    <n v="783106618"/>
    <n v="32219.98016868957"/>
    <n v="1.0126335057993343E-3"/>
    <n v="793000"/>
  </r>
  <r>
    <x v="17"/>
    <x v="16"/>
    <x v="9"/>
    <x v="1"/>
    <n v="2355"/>
    <n v="74531293"/>
    <n v="31648.107430997876"/>
    <n v="1.4356385847217221E-3"/>
    <n v="107000"/>
  </r>
  <r>
    <x v="18"/>
    <x v="17"/>
    <x v="10"/>
    <x v="2"/>
    <n v="6991"/>
    <n v="2661398591"/>
    <n v="380689.25632956659"/>
    <n v="4.0204424982353201E-3"/>
    <n v="10700000"/>
  </r>
  <r>
    <x v="19"/>
    <x v="18"/>
    <x v="5"/>
    <x v="1"/>
    <n v="10523"/>
    <n v="1105611861"/>
    <n v="105066.22265513637"/>
    <n v="2.1164751234520269E-3"/>
    <n v="2340000"/>
  </r>
  <r>
    <x v="20"/>
    <x v="19"/>
    <x v="1"/>
    <x v="1"/>
    <n v="11"/>
    <n v="4798771"/>
    <n v="436251.90909090912"/>
    <n v="2.6465109504079272E-3"/>
    <n v="12700"/>
  </r>
  <r>
    <x v="21"/>
    <x v="20"/>
    <x v="4"/>
    <x v="1"/>
    <n v="2331"/>
    <n v="277195385"/>
    <n v="118916.93908193908"/>
    <n v="2.5721928956356902E-3"/>
    <n v="713000"/>
  </r>
  <r>
    <x v="22"/>
    <x v="21"/>
    <x v="4"/>
    <x v="1"/>
    <n v="8793"/>
    <n v="754354811"/>
    <n v="85790.379961332874"/>
    <n v="8.629891272742211E-4"/>
    <n v="651000"/>
  </r>
  <r>
    <x v="23"/>
    <x v="22"/>
    <x v="9"/>
    <x v="1"/>
    <n v="7114"/>
    <n v="432364064"/>
    <n v="60776.506044419453"/>
    <n v="1.6675761471240127E-3"/>
    <n v="721000"/>
  </r>
  <r>
    <x v="24"/>
    <x v="23"/>
    <x v="11"/>
    <x v="0"/>
    <n v="17828"/>
    <n v="516674033"/>
    <n v="28981.042910029166"/>
    <n v="1.1864346974062078E-3"/>
    <n v="613000"/>
  </r>
  <r>
    <x v="25"/>
    <x v="24"/>
    <x v="11"/>
    <x v="0"/>
    <n v="5145"/>
    <n v="552609354"/>
    <n v="107407.06588921283"/>
    <n v="1.1147114965411895E-3"/>
    <n v="616000"/>
  </r>
  <r>
    <x v="26"/>
    <x v="25"/>
    <x v="12"/>
    <x v="2"/>
    <n v="45199"/>
    <n v="3020014777"/>
    <n v="66815.964446116064"/>
    <n v="3.3013083498564617E-3"/>
    <n v="9970000"/>
  </r>
  <r>
    <x v="27"/>
    <x v="26"/>
    <x v="6"/>
    <x v="1"/>
    <n v="2410"/>
    <n v="573791669"/>
    <n v="238087.82946058092"/>
    <n v="1.6312540780371631E-3"/>
    <n v="936000"/>
  </r>
  <r>
    <x v="28"/>
    <x v="27"/>
    <x v="1"/>
    <x v="1"/>
    <n v="1308"/>
    <n v="3698744"/>
    <n v="2827.7859327217125"/>
    <n v="1.2355545558167854E-3"/>
    <n v="4570"/>
  </r>
  <r>
    <x v="29"/>
    <x v="28"/>
    <x v="3"/>
    <x v="1"/>
    <n v="780"/>
    <n v="60912900"/>
    <n v="78093.461538461532"/>
    <n v="1.5497538288277196E-3"/>
    <n v="94400"/>
  </r>
  <r>
    <x v="30"/>
    <x v="29"/>
    <x v="12"/>
    <x v="2"/>
    <n v="2645"/>
    <n v="251057780"/>
    <n v="94917.875236294902"/>
    <n v="3.0112590018122522E-3"/>
    <n v="756000"/>
  </r>
  <r>
    <x v="31"/>
    <x v="30"/>
    <x v="2"/>
    <x v="1"/>
    <n v="72"/>
    <n v="8880427"/>
    <n v="123339.26388888889"/>
    <n v="6.170874441060098E-3"/>
    <n v="54800"/>
  </r>
  <r>
    <x v="32"/>
    <x v="31"/>
    <x v="7"/>
    <x v="1"/>
    <n v="31607"/>
    <n v="548957608"/>
    <n v="17368.228810073717"/>
    <n v="2.2770428568320341E-3"/>
    <n v="1250000"/>
  </r>
  <r>
    <x v="33"/>
    <x v="32"/>
    <x v="5"/>
    <x v="1"/>
    <n v="9160"/>
    <n v="1061247351"/>
    <n v="115856.69770742358"/>
    <n v="1.649002938241492E-3"/>
    <n v="1750000"/>
  </r>
  <r>
    <x v="34"/>
    <x v="33"/>
    <x v="1"/>
    <x v="1"/>
    <n v="6655"/>
    <n v="24283957"/>
    <n v="3648.9792637114952"/>
    <n v="1.5895267809937236E-3"/>
    <n v="38600"/>
  </r>
  <r>
    <x v="35"/>
    <x v="34"/>
    <x v="7"/>
    <x v="1"/>
    <n v="1937"/>
    <n v="51250730"/>
    <n v="26458.817759421785"/>
    <n v="6.5560041778917099E-3"/>
    <n v="336000"/>
  </r>
  <r>
    <x v="36"/>
    <x v="35"/>
    <x v="8"/>
    <x v="2"/>
    <n v="3854"/>
    <n v="828491151"/>
    <n v="214969.16216917487"/>
    <n v="2.220904831366147E-3"/>
    <n v="1840000"/>
  </r>
  <r>
    <x v="37"/>
    <x v="36"/>
    <x v="4"/>
    <x v="1"/>
    <n v="9315"/>
    <n v="226283106"/>
    <n v="24292.335587761674"/>
    <n v="2.7885422431845179E-3"/>
    <n v="631000"/>
  </r>
  <r>
    <x v="38"/>
    <x v="37"/>
    <x v="5"/>
    <x v="1"/>
    <n v="8583"/>
    <n v="167598493"/>
    <n v="19526.796341605499"/>
    <n v="1.097861900226036E-3"/>
    <n v="184000"/>
  </r>
  <r>
    <x v="39"/>
    <x v="38"/>
    <x v="7"/>
    <x v="1"/>
    <n v="28347"/>
    <n v="2815015958"/>
    <n v="99305.604049811271"/>
    <n v="1.6767222887622436E-3"/>
    <n v="4720000"/>
  </r>
  <r>
    <x v="40"/>
    <x v="39"/>
    <x v="3"/>
    <x v="1"/>
    <n v="3356"/>
    <n v="93847583"/>
    <n v="27964.118891537546"/>
    <n v="1.6622697677786758E-3"/>
    <n v="156000"/>
  </r>
  <r>
    <x v="41"/>
    <x v="40"/>
    <x v="3"/>
    <x v="1"/>
    <n v="648"/>
    <n v="602688544"/>
    <n v="930074.91358024697"/>
    <n v="2.1570013449600262E-3"/>
    <n v="1300000"/>
  </r>
  <r>
    <x v="42"/>
    <x v="41"/>
    <x v="0"/>
    <x v="0"/>
    <n v="921"/>
    <n v="29314948"/>
    <n v="31829.476655808903"/>
    <n v="2.1217844220634469E-3"/>
    <n v="62200"/>
  </r>
  <r>
    <x v="43"/>
    <x v="42"/>
    <x v="5"/>
    <x v="1"/>
    <n v="1931"/>
    <n v="28939093"/>
    <n v="14986.583635422061"/>
    <n v="1.3200137267605451E-3"/>
    <n v="38200"/>
  </r>
  <r>
    <x v="44"/>
    <x v="43"/>
    <x v="13"/>
    <x v="1"/>
    <n v="14494"/>
    <n v="1671439264"/>
    <n v="115319.39174830964"/>
    <n v="1.2922994251258657E-3"/>
    <n v="2160000"/>
  </r>
  <r>
    <x v="45"/>
    <x v="44"/>
    <x v="4"/>
    <x v="1"/>
    <n v="1220"/>
    <n v="13319963"/>
    <n v="10918.002459016394"/>
    <n v="8.0330553470756641E-3"/>
    <n v="107000"/>
  </r>
  <r>
    <x v="46"/>
    <x v="45"/>
    <x v="5"/>
    <x v="1"/>
    <n v="1691"/>
    <n v="4013582"/>
    <n v="2373.4961561206387"/>
    <n v="2.7905247731328277E-3"/>
    <n v="11200"/>
  </r>
  <r>
    <x v="47"/>
    <x v="46"/>
    <x v="4"/>
    <x v="1"/>
    <n v="8967"/>
    <n v="270135962"/>
    <n v="30125.567302330768"/>
    <n v="3.0132974298327595E-3"/>
    <n v="814000"/>
  </r>
  <r>
    <x v="48"/>
    <x v="47"/>
    <x v="0"/>
    <x v="0"/>
    <n v="6384"/>
    <n v="1545164679"/>
    <n v="242037.07377819548"/>
    <n v="1.0160729282370556E-3"/>
    <n v="1570000"/>
  </r>
  <r>
    <x v="49"/>
    <x v="48"/>
    <x v="0"/>
    <x v="0"/>
    <n v="13336"/>
    <n v="129998649"/>
    <n v="9747.9490851829632"/>
    <n v="2.0230979477332874E-3"/>
    <n v="263000"/>
  </r>
  <r>
    <x v="50"/>
    <x v="49"/>
    <x v="5"/>
    <x v="1"/>
    <n v="3609"/>
    <n v="5010836"/>
    <n v="1388.4278193405376"/>
    <n v="2.4945937164976063E-3"/>
    <n v="12500"/>
  </r>
  <r>
    <x v="51"/>
    <x v="50"/>
    <x v="5"/>
    <x v="1"/>
    <n v="4630"/>
    <n v="38068947"/>
    <n v="8222.2347732181424"/>
    <n v="1.5130442142253107E-3"/>
    <n v="57600"/>
  </r>
  <r>
    <x v="52"/>
    <x v="51"/>
    <x v="10"/>
    <x v="2"/>
    <n v="18050"/>
    <n v="1062222686"/>
    <n v="58848.902271468141"/>
    <n v="1.3650621655052846E-3"/>
    <n v="1450000"/>
  </r>
  <r>
    <x v="53"/>
    <x v="52"/>
    <x v="14"/>
    <x v="2"/>
    <n v="553"/>
    <n v="276632815"/>
    <n v="500240.17179023509"/>
    <n v="3.9402411460115463E-3"/>
    <n v="1090000"/>
  </r>
  <r>
    <x v="54"/>
    <x v="53"/>
    <x v="12"/>
    <x v="2"/>
    <n v="18330"/>
    <n v="2701624691"/>
    <n v="147388.14462629569"/>
    <n v="2.6687644749542306E-3"/>
    <n v="7210000"/>
  </r>
  <r>
    <x v="55"/>
    <x v="54"/>
    <x v="1"/>
    <x v="1"/>
    <n v="406"/>
    <n v="76611108"/>
    <n v="188697.31034482759"/>
    <n v="4.5032634171013426E-3"/>
    <n v="345000"/>
  </r>
  <r>
    <x v="56"/>
    <x v="55"/>
    <x v="4"/>
    <x v="1"/>
    <n v="8772"/>
    <n v="113424546"/>
    <n v="12930.294801641587"/>
    <n v="3.2091818996568874E-3"/>
    <n v="364000"/>
  </r>
  <r>
    <x v="57"/>
    <x v="56"/>
    <x v="1"/>
    <x v="1"/>
    <n v="1069"/>
    <n v="155741890"/>
    <n v="145689.32647333958"/>
    <n v="1.8813178650907601E-3"/>
    <n v="293000"/>
  </r>
  <r>
    <x v="58"/>
    <x v="57"/>
    <x v="0"/>
    <x v="0"/>
    <n v="7571"/>
    <n v="33560724"/>
    <n v="4432.7993660018492"/>
    <n v="1.8622959385500742E-3"/>
    <n v="62500"/>
  </r>
  <r>
    <x v="59"/>
    <x v="58"/>
    <x v="3"/>
    <x v="1"/>
    <n v="1437"/>
    <n v="1898880"/>
    <n v="1321.419624217119"/>
    <n v="6.1615267947421641E-3"/>
    <n v="11700"/>
  </r>
  <r>
    <x v="60"/>
    <x v="59"/>
    <x v="10"/>
    <x v="2"/>
    <n v="10894"/>
    <n v="18285762"/>
    <n v="1678.5167982375619"/>
    <n v="1.3179653109342668E-3"/>
    <n v="24100"/>
  </r>
  <r>
    <x v="61"/>
    <x v="60"/>
    <x v="8"/>
    <x v="2"/>
    <n v="2420"/>
    <n v="8876448"/>
    <n v="3667.9537190082647"/>
    <n v="4.9231404273421082E-3"/>
    <n v="43700"/>
  </r>
  <r>
    <x v="62"/>
    <x v="61"/>
    <x v="1"/>
    <x v="1"/>
    <n v="127"/>
    <n v="3287649"/>
    <n v="25887"/>
    <n v="7.3608831113053733E-3"/>
    <n v="24200"/>
  </r>
  <r>
    <x v="63"/>
    <x v="62"/>
    <x v="13"/>
    <x v="1"/>
    <n v="22781"/>
    <n v="573717519"/>
    <n v="25184.035775426892"/>
    <n v="2.3705045688172544E-3"/>
    <n v="1360000"/>
  </r>
  <r>
    <x v="64"/>
    <x v="63"/>
    <x v="15"/>
    <x v="0"/>
    <n v="1948"/>
    <n v="391177035"/>
    <n v="200809.56622176591"/>
    <n v="1.0455624011772573E-3"/>
    <n v="409000"/>
  </r>
  <r>
    <x v="65"/>
    <x v="64"/>
    <x v="13"/>
    <x v="1"/>
    <n v="1513"/>
    <n v="67748322"/>
    <n v="44777.476536682087"/>
    <n v="1.889345687410531E-3"/>
    <n v="128000"/>
  </r>
  <r>
    <x v="66"/>
    <x v="65"/>
    <x v="11"/>
    <x v="0"/>
    <n v="4352"/>
    <n v="266044067"/>
    <n v="61131.44921875"/>
    <n v="1.9658397418800548E-3"/>
    <n v="523000"/>
  </r>
  <r>
    <x v="67"/>
    <x v="66"/>
    <x v="16"/>
    <x v="2"/>
    <n v="1499"/>
    <n v="2194603"/>
    <n v="1464.0446964643095"/>
    <n v="6.0147552883141053E-3"/>
    <n v="13200"/>
  </r>
  <r>
    <x v="68"/>
    <x v="67"/>
    <x v="15"/>
    <x v="0"/>
    <n v="2243"/>
    <n v="3857105"/>
    <n v="1719.6188140882746"/>
    <n v="1.9859454176124323E-3"/>
    <n v="7660"/>
  </r>
  <r>
    <x v="69"/>
    <x v="68"/>
    <x v="17"/>
    <x v="2"/>
    <n v="1809"/>
    <n v="19705071"/>
    <n v="10892.79767827529"/>
    <n v="4.0294196351791881E-3"/>
    <n v="79400"/>
  </r>
  <r>
    <x v="70"/>
    <x v="69"/>
    <x v="3"/>
    <x v="1"/>
    <n v="1020"/>
    <n v="174427522"/>
    <n v="171007.37450980392"/>
    <n v="5.4750534150224302E-3"/>
    <n v="955000"/>
  </r>
  <r>
    <x v="71"/>
    <x v="70"/>
    <x v="15"/>
    <x v="0"/>
    <n v="1878"/>
    <n v="2070382"/>
    <n v="1102.4398296059637"/>
    <n v="3.3472083895628923E-3"/>
    <n v="6930"/>
  </r>
  <r>
    <x v="72"/>
    <x v="71"/>
    <x v="4"/>
    <x v="1"/>
    <n v="3166"/>
    <n v="237781692"/>
    <n v="75104.766898294372"/>
    <n v="4.4999259236493281E-3"/>
    <n v="1070000"/>
  </r>
  <r>
    <x v="73"/>
    <x v="72"/>
    <x v="11"/>
    <x v="0"/>
    <n v="17"/>
    <n v="3190296"/>
    <n v="187664.4705882353"/>
    <n v="7.5541579840867432E-3"/>
    <n v="24100"/>
  </r>
  <r>
    <x v="74"/>
    <x v="73"/>
    <x v="7"/>
    <x v="1"/>
    <n v="675"/>
    <n v="656967664"/>
    <n v="973285.42814814812"/>
    <n v="8.402240022577428E-4"/>
    <n v="552000"/>
  </r>
  <r>
    <x v="75"/>
    <x v="74"/>
    <x v="0"/>
    <x v="0"/>
    <n v="2042"/>
    <n v="215242803"/>
    <n v="105407.83692458374"/>
    <n v="2.5506079290372372E-3"/>
    <n v="549000"/>
  </r>
  <r>
    <x v="76"/>
    <x v="75"/>
    <x v="3"/>
    <x v="1"/>
    <n v="1647"/>
    <n v="91901500"/>
    <n v="55799.332119004248"/>
    <n v="2.4917982840323609E-3"/>
    <n v="229000"/>
  </r>
  <r>
    <x v="77"/>
    <x v="76"/>
    <x v="11"/>
    <x v="0"/>
    <n v="911"/>
    <n v="41004162"/>
    <n v="45010.057080131723"/>
    <n v="2.2509910091565825E-3"/>
    <n v="92300"/>
  </r>
  <r>
    <x v="78"/>
    <x v="77"/>
    <x v="2"/>
    <x v="1"/>
    <n v="3090"/>
    <n v="1486347417"/>
    <n v="481018.58155339805"/>
    <n v="6.1896699888435306E-3"/>
    <n v="9200000"/>
  </r>
  <r>
    <x v="79"/>
    <x v="78"/>
    <x v="9"/>
    <x v="1"/>
    <n v="6281"/>
    <n v="542711921"/>
    <n v="86405.336889030412"/>
    <n v="1.1589942576551585E-3"/>
    <n v="629000"/>
  </r>
  <r>
    <x v="80"/>
    <x v="79"/>
    <x v="2"/>
    <x v="1"/>
    <n v="62"/>
    <n v="13875782"/>
    <n v="223802.93548387097"/>
    <n v="3.2790944683333883E-3"/>
    <n v="45500"/>
  </r>
  <r>
    <x v="81"/>
    <x v="80"/>
    <x v="9"/>
    <x v="1"/>
    <n v="18639"/>
    <n v="148163210"/>
    <n v="7949.0965180535441"/>
    <n v="1.7683202193041038E-3"/>
    <n v="262000"/>
  </r>
  <r>
    <x v="82"/>
    <x v="81"/>
    <x v="15"/>
    <x v="0"/>
    <n v="3762"/>
    <n v="380659694"/>
    <n v="101185.45826687932"/>
    <n v="1.7101889437235768E-3"/>
    <n v="651000"/>
  </r>
  <r>
    <x v="83"/>
    <x v="82"/>
    <x v="7"/>
    <x v="1"/>
    <n v="30301"/>
    <n v="479576031"/>
    <n v="15827.069436652255"/>
    <n v="2.0559826518936264E-3"/>
    <n v="986000"/>
  </r>
  <r>
    <x v="84"/>
    <x v="83"/>
    <x v="7"/>
    <x v="1"/>
    <n v="123"/>
    <n v="6144823"/>
    <n v="49957.91056910569"/>
    <n v="2.2132451984377744E-3"/>
    <n v="13600"/>
  </r>
  <r>
    <x v="85"/>
    <x v="84"/>
    <x v="0"/>
    <x v="0"/>
    <n v="530"/>
    <n v="464864555"/>
    <n v="877102.9339622641"/>
    <n v="1.9016291745452608E-3"/>
    <n v="884000"/>
  </r>
  <r>
    <x v="86"/>
    <x v="85"/>
    <x v="16"/>
    <x v="2"/>
    <n v="6317"/>
    <n v="6773764"/>
    <n v="1072.3071078043374"/>
    <n v="1.5943868135943325E-3"/>
    <n v="10800"/>
  </r>
  <r>
    <x v="87"/>
    <x v="86"/>
    <x v="3"/>
    <x v="1"/>
    <n v="3385"/>
    <n v="87249754"/>
    <n v="25775.407385524373"/>
    <n v="1.1461350366672666E-3"/>
    <n v="100000"/>
  </r>
  <r>
    <x v="88"/>
    <x v="87"/>
    <x v="0"/>
    <x v="0"/>
    <n v="77"/>
    <n v="74156"/>
    <n v="963.06493506493507"/>
    <n v="1.2999622417606127E-2"/>
    <n v="964"/>
  </r>
  <r>
    <x v="89"/>
    <x v="88"/>
    <x v="6"/>
    <x v="1"/>
    <n v="371"/>
    <n v="35265565"/>
    <n v="95055.431266846368"/>
    <n v="1.3554298647987066E-3"/>
    <n v="47800"/>
  </r>
  <r>
    <x v="90"/>
    <x v="89"/>
    <x v="4"/>
    <x v="1"/>
    <n v="1052"/>
    <n v="1137652"/>
    <n v="1081.4182509505704"/>
    <n v="4.535657652779585E-3"/>
    <n v="5160"/>
  </r>
  <r>
    <x v="91"/>
    <x v="90"/>
    <x v="7"/>
    <x v="1"/>
    <n v="10114"/>
    <n v="182902894"/>
    <n v="18084.130314415663"/>
    <n v="1.3285738387496483E-3"/>
    <n v="243000"/>
  </r>
  <r>
    <x v="92"/>
    <x v="91"/>
    <x v="0"/>
    <x v="0"/>
    <n v="1515"/>
    <n v="14253949"/>
    <n v="9408.5471947194728"/>
    <n v="3.5428778368717328E-3"/>
    <n v="50500"/>
  </r>
  <r>
    <x v="93"/>
    <x v="92"/>
    <x v="9"/>
    <x v="1"/>
    <n v="1654"/>
    <n v="26526162"/>
    <n v="16037.582829504232"/>
    <n v="1.0706411278043164E-2"/>
    <n v="284000"/>
  </r>
  <r>
    <x v="94"/>
    <x v="93"/>
    <x v="5"/>
    <x v="1"/>
    <n v="1080"/>
    <n v="878039"/>
    <n v="812.99907407407409"/>
    <n v="5.3983934654383238E-3"/>
    <n v="4740"/>
  </r>
  <r>
    <x v="95"/>
    <x v="94"/>
    <x v="16"/>
    <x v="2"/>
    <n v="470"/>
    <n v="150330551"/>
    <n v="319852.23617021274"/>
    <n v="1.9556902974432657E-3"/>
    <n v="294000"/>
  </r>
  <r>
    <x v="96"/>
    <x v="95"/>
    <x v="11"/>
    <x v="0"/>
    <n v="2200"/>
    <n v="270791931"/>
    <n v="123087.24136363636"/>
    <n v="3.3642065944719749E-3"/>
    <n v="911000"/>
  </r>
  <r>
    <x v="97"/>
    <x v="96"/>
    <x v="9"/>
    <x v="1"/>
    <n v="949"/>
    <n v="16130582"/>
    <n v="16997.452054794521"/>
    <n v="4.6061574219702674E-3"/>
    <n v="74300"/>
  </r>
  <r>
    <x v="98"/>
    <x v="97"/>
    <x v="7"/>
    <x v="1"/>
    <n v="4919"/>
    <n v="362602208"/>
    <n v="73714.618418377722"/>
    <n v="3.7506666258358802E-3"/>
    <n v="1360000"/>
  </r>
  <r>
    <x v="98"/>
    <x v="97"/>
    <x v="7"/>
    <x v="1"/>
    <n v="4919"/>
    <n v="362602208"/>
    <n v="73714.618418377722"/>
    <n v="3.7506666258358802E-3"/>
    <n v="1360000"/>
  </r>
  <r>
    <x v="99"/>
    <x v="98"/>
    <x v="13"/>
    <x v="1"/>
    <n v="3587"/>
    <n v="89251920"/>
    <n v="24882.051853916921"/>
    <n v="1.747861558608487E-3"/>
    <n v="156000"/>
  </r>
  <r>
    <x v="100"/>
    <x v="99"/>
    <x v="6"/>
    <x v="1"/>
    <n v="3926"/>
    <n v="13180389"/>
    <n v="3357.2055527254201"/>
    <n v="2.177477462918583E-3"/>
    <n v="28700"/>
  </r>
  <r>
    <x v="101"/>
    <x v="100"/>
    <x v="6"/>
    <x v="1"/>
    <n v="8490"/>
    <n v="12208277"/>
    <n v="1437.9595995288576"/>
    <n v="2.1215114958482674E-3"/>
    <n v="25900"/>
  </r>
  <r>
    <x v="102"/>
    <x v="101"/>
    <x v="10"/>
    <x v="2"/>
    <n v="1957"/>
    <n v="1495028"/>
    <n v="763.93868165559525"/>
    <n v="1.0769029075040734E-3"/>
    <n v="1610"/>
  </r>
  <r>
    <x v="103"/>
    <x v="102"/>
    <x v="13"/>
    <x v="1"/>
    <n v="10038"/>
    <n v="291943570"/>
    <n v="29083.838414026697"/>
    <n v="2.74368091066366E-3"/>
    <n v="801000"/>
  </r>
  <r>
    <x v="104"/>
    <x v="103"/>
    <x v="0"/>
    <x v="0"/>
    <n v="1804"/>
    <n v="5919503"/>
    <n v="3281.320953436807"/>
    <n v="4.2571141529956147E-3"/>
    <n v="25200"/>
  </r>
  <r>
    <x v="105"/>
    <x v="104"/>
    <x v="3"/>
    <x v="1"/>
    <n v="24752"/>
    <n v="2039718299"/>
    <n v="82406.201478668387"/>
    <n v="1.6129678307112152E-3"/>
    <n v="3290000"/>
  </r>
  <r>
    <x v="106"/>
    <x v="70"/>
    <x v="15"/>
    <x v="0"/>
    <n v="2775"/>
    <n v="2527452"/>
    <n v="910.79351351351352"/>
    <n v="4.2730781830871561E-3"/>
    <n v="10800"/>
  </r>
  <r>
    <x v="107"/>
    <x v="105"/>
    <x v="4"/>
    <x v="1"/>
    <n v="879"/>
    <n v="79182794"/>
    <n v="90082.81456200227"/>
    <n v="2.4373982054737803E-3"/>
    <n v="193000"/>
  </r>
  <r>
    <x v="108"/>
    <x v="106"/>
    <x v="1"/>
    <x v="1"/>
    <n v="15692"/>
    <n v="5473049"/>
    <n v="348.77956920723938"/>
    <n v="1.0761825812266618E-3"/>
    <n v="5890"/>
  </r>
  <r>
    <x v="109"/>
    <x v="107"/>
    <x v="0"/>
    <x v="0"/>
    <n v="7040"/>
    <n v="163658227"/>
    <n v="23246.907244318183"/>
    <n v="3.5378606417384687E-3"/>
    <n v="579000"/>
  </r>
  <r>
    <x v="110"/>
    <x v="108"/>
    <x v="0"/>
    <x v="0"/>
    <n v="801"/>
    <n v="230075"/>
    <n v="287.23470661672911"/>
    <n v="7.7366076279474089E-3"/>
    <n v="1780"/>
  </r>
  <r>
    <x v="111"/>
    <x v="109"/>
    <x v="10"/>
    <x v="2"/>
    <n v="7288"/>
    <n v="736543778"/>
    <n v="101062.53814489572"/>
    <n v="2.1858850051951696E-3"/>
    <n v="1610000"/>
  </r>
  <r>
    <x v="112"/>
    <x v="110"/>
    <x v="6"/>
    <x v="1"/>
    <n v="3260"/>
    <n v="319583598"/>
    <n v="98031.778527607355"/>
    <n v="2.2904805020688202E-3"/>
    <n v="732000"/>
  </r>
  <r>
    <x v="113"/>
    <x v="111"/>
    <x v="4"/>
    <x v="1"/>
    <n v="261"/>
    <n v="14016432"/>
    <n v="53702.80459770115"/>
    <n v="1.0701724946833831E-2"/>
    <n v="150000"/>
  </r>
  <r>
    <x v="114"/>
    <x v="112"/>
    <x v="4"/>
    <x v="1"/>
    <n v="6041"/>
    <n v="119898053"/>
    <n v="19847.385035590134"/>
    <n v="7.8816959604840284E-3"/>
    <n v="945000"/>
  </r>
  <r>
    <x v="115"/>
    <x v="113"/>
    <x v="11"/>
    <x v="0"/>
    <n v="806"/>
    <n v="79304514"/>
    <n v="98392.697270471457"/>
    <n v="1.0453377218855411E-3"/>
    <n v="82900"/>
  </r>
  <r>
    <x v="116"/>
    <x v="114"/>
    <x v="1"/>
    <x v="1"/>
    <n v="2174"/>
    <n v="77334885"/>
    <n v="35572.6241950322"/>
    <n v="3.1680398826480442E-3"/>
    <n v="245000"/>
  </r>
  <r>
    <x v="117"/>
    <x v="115"/>
    <x v="7"/>
    <x v="1"/>
    <n v="4989"/>
    <n v="57178297"/>
    <n v="11460.873321306875"/>
    <n v="2.4834597644627296E-3"/>
    <n v="142000"/>
  </r>
  <r>
    <x v="118"/>
    <x v="116"/>
    <x v="6"/>
    <x v="1"/>
    <n v="10801"/>
    <n v="12260723"/>
    <n v="1135.147023423757"/>
    <n v="4.2901222056806925E-3"/>
    <n v="52600"/>
  </r>
  <r>
    <x v="119"/>
    <x v="117"/>
    <x v="0"/>
    <x v="0"/>
    <n v="1389"/>
    <n v="14030398"/>
    <n v="10101.078473722102"/>
    <n v="3.9628241479678621E-3"/>
    <n v="55600"/>
  </r>
  <r>
    <x v="120"/>
    <x v="118"/>
    <x v="16"/>
    <x v="2"/>
    <n v="4900"/>
    <n v="291903899"/>
    <n v="59572.224285714285"/>
    <n v="1.9355685276406672E-3"/>
    <n v="565000"/>
  </r>
  <r>
    <x v="121"/>
    <x v="119"/>
    <x v="1"/>
    <x v="1"/>
    <n v="5349"/>
    <n v="10255893"/>
    <n v="1917.3477285473921"/>
    <n v="1.6478331043430349E-3"/>
    <n v="16900"/>
  </r>
  <r>
    <x v="122"/>
    <x v="120"/>
    <x v="1"/>
    <x v="1"/>
    <n v="4437"/>
    <n v="151756163"/>
    <n v="34202.425738111335"/>
    <n v="3.6967197174061391E-3"/>
    <n v="561000"/>
  </r>
  <r>
    <x v="123"/>
    <x v="121"/>
    <x v="10"/>
    <x v="2"/>
    <n v="821"/>
    <n v="899232758"/>
    <n v="1095289.5956151036"/>
    <n v="5.6715015713428895E-3"/>
    <n v="5100000"/>
  </r>
  <r>
    <x v="124"/>
    <x v="122"/>
    <x v="1"/>
    <x v="1"/>
    <n v="3397"/>
    <n v="175554388"/>
    <n v="51679.242861348248"/>
    <n v="1.9993803857525907E-3"/>
    <n v="351000"/>
  </r>
  <r>
    <x v="125"/>
    <x v="123"/>
    <x v="7"/>
    <x v="1"/>
    <n v="4135"/>
    <n v="6048376"/>
    <n v="1462.7269649334946"/>
    <n v="4.2986745533015805E-3"/>
    <n v="26000"/>
  </r>
  <r>
    <x v="126"/>
    <x v="124"/>
    <x v="5"/>
    <x v="1"/>
    <n v="6519"/>
    <n v="322112417"/>
    <n v="49411.323362478906"/>
    <n v="1.2355934729458133E-3"/>
    <n v="398000"/>
  </r>
  <r>
    <x v="127"/>
    <x v="125"/>
    <x v="1"/>
    <x v="1"/>
    <n v="104"/>
    <n v="219881878"/>
    <n v="2114248.826923077"/>
    <n v="1.3052462649968816E-3"/>
    <n v="287000"/>
  </r>
  <r>
    <x v="128"/>
    <x v="126"/>
    <x v="3"/>
    <x v="1"/>
    <n v="687"/>
    <n v="22681360"/>
    <n v="33015.080058224165"/>
    <n v="9.3468821975401829E-3"/>
    <n v="212000"/>
  </r>
  <r>
    <x v="129"/>
    <x v="127"/>
    <x v="3"/>
    <x v="1"/>
    <n v="1014"/>
    <n v="77256110"/>
    <n v="76189.457593688363"/>
    <n v="3.9608517695234723E-3"/>
    <n v="306000"/>
  </r>
  <r>
    <x v="130"/>
    <x v="128"/>
    <x v="0"/>
    <x v="0"/>
    <n v="3670"/>
    <n v="23626664"/>
    <n v="6437.7831062670302"/>
    <n v="2.8061515582563836E-3"/>
    <n v="66300"/>
  </r>
  <r>
    <x v="131"/>
    <x v="129"/>
    <x v="4"/>
    <x v="1"/>
    <n v="2282"/>
    <n v="44829741"/>
    <n v="19644.934706397897"/>
    <n v="2.966780468350241E-3"/>
    <n v="133000"/>
  </r>
  <r>
    <x v="132"/>
    <x v="130"/>
    <x v="3"/>
    <x v="1"/>
    <n v="1529"/>
    <n v="13956058"/>
    <n v="9127.5722694571614"/>
    <n v="3.811964667959964E-3"/>
    <n v="53200"/>
  </r>
  <r>
    <x v="133"/>
    <x v="131"/>
    <x v="7"/>
    <x v="1"/>
    <n v="59"/>
    <n v="10507439"/>
    <n v="178092.18644067796"/>
    <n v="7.5279999246248303E-3"/>
    <n v="79100"/>
  </r>
  <r>
    <x v="134"/>
    <x v="132"/>
    <x v="12"/>
    <x v="2"/>
    <n v="2849"/>
    <n v="1251351151"/>
    <n v="439224.69322569325"/>
    <n v="2.4773222108939426E-3"/>
    <n v="3100000"/>
  </r>
  <r>
    <x v="135"/>
    <x v="133"/>
    <x v="9"/>
    <x v="1"/>
    <n v="22971"/>
    <n v="605812282"/>
    <n v="26372.917243480912"/>
    <n v="2.888683593905744E-3"/>
    <n v="1750000"/>
  </r>
  <r>
    <x v="136"/>
    <x v="39"/>
    <x v="3"/>
    <x v="1"/>
    <n v="3614"/>
    <n v="634778"/>
    <n v="175.64416159380187"/>
    <n v="8.7274606240291888E-3"/>
    <n v="5540"/>
  </r>
  <r>
    <x v="137"/>
    <x v="134"/>
    <x v="11"/>
    <x v="0"/>
    <n v="209"/>
    <n v="10717632"/>
    <n v="51280.535885167461"/>
    <n v="3.0697079354842561E-3"/>
    <n v="32900"/>
  </r>
  <r>
    <x v="138"/>
    <x v="135"/>
    <x v="5"/>
    <x v="1"/>
    <n v="2241"/>
    <n v="1274260"/>
    <n v="568.6122266845158"/>
    <n v="5.4070597837176087E-3"/>
    <n v="6890"/>
  </r>
  <r>
    <x v="139"/>
    <x v="136"/>
    <x v="6"/>
    <x v="1"/>
    <n v="11473"/>
    <n v="31099531"/>
    <n v="2710.6712281007585"/>
    <n v="1.5048458447813893E-3"/>
    <n v="46800"/>
  </r>
  <r>
    <x v="140"/>
    <x v="137"/>
    <x v="7"/>
    <x v="1"/>
    <n v="3172"/>
    <n v="2686094"/>
    <n v="846.81399747793193"/>
    <n v="4.2440808102769297E-3"/>
    <n v="11400"/>
  </r>
  <r>
    <x v="141"/>
    <x v="138"/>
    <x v="3"/>
    <x v="1"/>
    <n v="227"/>
    <n v="6380288"/>
    <n v="28106.995594713655"/>
    <n v="9.0121323676924936E-3"/>
    <n v="57500"/>
  </r>
  <r>
    <x v="142"/>
    <x v="139"/>
    <x v="3"/>
    <x v="1"/>
    <n v="1587"/>
    <n v="12019452"/>
    <n v="7573.6937618147449"/>
    <n v="5.4827790817751094E-3"/>
    <n v="65900"/>
  </r>
  <r>
    <x v="143"/>
    <x v="140"/>
    <x v="3"/>
    <x v="1"/>
    <n v="9"/>
    <n v="833903"/>
    <n v="92655.888888888891"/>
    <n v="2.8300653673149034E-3"/>
    <n v="2360"/>
  </r>
  <r>
    <x v="144"/>
    <x v="141"/>
    <x v="0"/>
    <x v="0"/>
    <n v="190"/>
    <n v="91011"/>
    <n v="479.00526315789472"/>
    <n v="3.3842063047323949E-2"/>
    <n v="3080"/>
  </r>
  <r>
    <x v="145"/>
    <x v="18"/>
    <x v="5"/>
    <x v="1"/>
    <n v="12044"/>
    <n v="988342639"/>
    <n v="82060.996263699766"/>
    <n v="2.2866563788916934E-3"/>
    <n v="2260000"/>
  </r>
  <r>
    <x v="146"/>
    <x v="142"/>
    <x v="15"/>
    <x v="0"/>
    <n v="315"/>
    <n v="18622813"/>
    <n v="59120.041269841269"/>
    <n v="2.5774838634743313E-3"/>
    <n v="48000"/>
  </r>
  <r>
    <x v="147"/>
    <x v="143"/>
    <x v="0"/>
    <x v="0"/>
    <n v="408"/>
    <n v="2390116"/>
    <n v="5858.1274509803925"/>
    <n v="6.6523967874362582E-3"/>
    <n v="15900"/>
  </r>
  <r>
    <x v="148"/>
    <x v="144"/>
    <x v="18"/>
    <x v="0"/>
    <n v="1118"/>
    <n v="16452039"/>
    <n v="14715.598389982111"/>
    <n v="7.1723632553995281E-3"/>
    <n v="118000"/>
  </r>
  <r>
    <x v="149"/>
    <x v="145"/>
    <x v="5"/>
    <x v="1"/>
    <n v="1306"/>
    <n v="49141518"/>
    <n v="37627.502297090352"/>
    <n v="5.2094442829381058E-3"/>
    <n v="256000"/>
  </r>
  <r>
    <x v="150"/>
    <x v="146"/>
    <x v="5"/>
    <x v="1"/>
    <n v="7789"/>
    <n v="1023206846"/>
    <n v="131365.62408524842"/>
    <n v="1.6907627297091013E-3"/>
    <n v="1730000"/>
  </r>
  <r>
    <x v="151"/>
    <x v="147"/>
    <x v="7"/>
    <x v="1"/>
    <n v="717"/>
    <n v="52877768"/>
    <n v="73748.630404463038"/>
    <n v="1.0855223692497761E-2"/>
    <n v="574000"/>
  </r>
  <r>
    <x v="152"/>
    <x v="148"/>
    <x v="7"/>
    <x v="1"/>
    <n v="1402"/>
    <n v="1755744"/>
    <n v="1252.3138373751783"/>
    <n v="4.0894344505804942E-3"/>
    <n v="7180"/>
  </r>
  <r>
    <x v="153"/>
    <x v="149"/>
    <x v="13"/>
    <x v="1"/>
    <n v="4326"/>
    <n v="494451513"/>
    <n v="114297.62205270458"/>
    <n v="9.4650332276362149E-3"/>
    <n v="4680000"/>
  </r>
  <r>
    <x v="154"/>
    <x v="150"/>
    <x v="4"/>
    <x v="1"/>
    <n v="1406"/>
    <n v="57237144"/>
    <n v="40709.206258890466"/>
    <n v="3.0050416212241476E-3"/>
    <n v="172000"/>
  </r>
  <r>
    <x v="155"/>
    <x v="151"/>
    <x v="15"/>
    <x v="0"/>
    <n v="108"/>
    <n v="11172776"/>
    <n v="103451.62962962964"/>
    <n v="1.8974693487097568E-3"/>
    <n v="21200"/>
  </r>
  <r>
    <x v="156"/>
    <x v="152"/>
    <x v="11"/>
    <x v="0"/>
    <n v="1005"/>
    <n v="1937572"/>
    <n v="1927.9323383084577"/>
    <n v="4.779177238316821E-3"/>
    <n v="9260"/>
  </r>
  <r>
    <x v="157"/>
    <x v="153"/>
    <x v="15"/>
    <x v="0"/>
    <n v="4462"/>
    <n v="18638213"/>
    <n v="4177.0983863738238"/>
    <n v="2.0441873907117596E-3"/>
    <n v="38100"/>
  </r>
  <r>
    <x v="158"/>
    <x v="154"/>
    <x v="2"/>
    <x v="1"/>
    <n v="2327"/>
    <n v="69966596"/>
    <n v="30067.295229909756"/>
    <n v="6.5031032808856382E-3"/>
    <n v="455000"/>
  </r>
  <r>
    <x v="159"/>
    <x v="155"/>
    <x v="3"/>
    <x v="1"/>
    <n v="2256"/>
    <n v="36300055"/>
    <n v="16090.449911347518"/>
    <n v="3.6088099591033676E-3"/>
    <n v="131000"/>
  </r>
  <r>
    <x v="49"/>
    <x v="48"/>
    <x v="0"/>
    <x v="0"/>
    <n v="13336"/>
    <n v="129998649"/>
    <n v="9747.9490851829632"/>
    <n v="2.0230979477332874E-3"/>
    <n v="263000"/>
  </r>
  <r>
    <x v="160"/>
    <x v="156"/>
    <x v="2"/>
    <x v="1"/>
    <n v="1932"/>
    <n v="664472"/>
    <n v="343.92960662525883"/>
    <n v="4.9512996785417594E-3"/>
    <n v="3290"/>
  </r>
  <r>
    <x v="161"/>
    <x v="157"/>
    <x v="11"/>
    <x v="0"/>
    <n v="961"/>
    <n v="79167648"/>
    <n v="82380.486992715916"/>
    <n v="1.1608277158871765E-2"/>
    <n v="919000"/>
  </r>
  <r>
    <x v="162"/>
    <x v="158"/>
    <x v="1"/>
    <x v="1"/>
    <n v="1224"/>
    <n v="618128"/>
    <n v="505.00653594771239"/>
    <n v="6.0181709937100402E-3"/>
    <n v="3720"/>
  </r>
  <r>
    <x v="163"/>
    <x v="159"/>
    <x v="0"/>
    <x v="0"/>
    <n v="3073"/>
    <n v="275004"/>
    <n v="89.490400260331924"/>
    <n v="5.9271865136507106E-3"/>
    <n v="1630"/>
  </r>
  <r>
    <x v="164"/>
    <x v="160"/>
    <x v="15"/>
    <x v="0"/>
    <n v="1782"/>
    <n v="527360"/>
    <n v="295.93714927048262"/>
    <n v="5.0819174757281557E-3"/>
    <n v="2680"/>
  </r>
  <r>
    <x v="165"/>
    <x v="161"/>
    <x v="17"/>
    <x v="2"/>
    <n v="1011"/>
    <n v="43031223"/>
    <n v="42563.029673590507"/>
    <n v="3.9738587025518659E-3"/>
    <n v="171000"/>
  </r>
  <r>
    <x v="166"/>
    <x v="162"/>
    <x v="18"/>
    <x v="0"/>
    <n v="57"/>
    <n v="905803"/>
    <n v="15891.280701754386"/>
    <n v="1.1039928107988161E-2"/>
    <n v="10000"/>
  </r>
  <r>
    <x v="167"/>
    <x v="163"/>
    <x v="10"/>
    <x v="2"/>
    <n v="1472"/>
    <n v="79915219"/>
    <n v="54290.23029891304"/>
    <n v="3.8540844141339336E-3"/>
    <n v="308000"/>
  </r>
  <r>
    <x v="168"/>
    <x v="164"/>
    <x v="7"/>
    <x v="1"/>
    <n v="1885"/>
    <n v="16154505"/>
    <n v="8570.0291777188322"/>
    <n v="4.2898250364217291E-3"/>
    <n v="69300"/>
  </r>
  <r>
    <x v="169"/>
    <x v="165"/>
    <x v="15"/>
    <x v="0"/>
    <n v="870"/>
    <n v="120400388"/>
    <n v="138391.25057471264"/>
    <n v="3.5132777146864346E-3"/>
    <n v="423000"/>
  </r>
  <r>
    <x v="170"/>
    <x v="166"/>
    <x v="0"/>
    <x v="0"/>
    <n v="295"/>
    <n v="805023"/>
    <n v="2728.891525423729"/>
    <n v="8.1239914884419454E-3"/>
    <n v="6540"/>
  </r>
  <r>
    <x v="171"/>
    <x v="167"/>
    <x v="11"/>
    <x v="0"/>
    <n v="4034"/>
    <n v="51680391"/>
    <n v="12811.202528507685"/>
    <n v="1.7492127720163727E-3"/>
    <n v="90400"/>
  </r>
  <r>
    <x v="172"/>
    <x v="168"/>
    <x v="7"/>
    <x v="1"/>
    <n v="432"/>
    <n v="495599141"/>
    <n v="1147220.2337962964"/>
    <n v="4.1565850898034546E-3"/>
    <n v="2060000"/>
  </r>
  <r>
    <x v="173"/>
    <x v="169"/>
    <x v="11"/>
    <x v="0"/>
    <n v="1103"/>
    <n v="3019519"/>
    <n v="2737.5512239347236"/>
    <n v="3.67608218395049E-3"/>
    <n v="11100"/>
  </r>
  <r>
    <x v="174"/>
    <x v="170"/>
    <x v="7"/>
    <x v="1"/>
    <n v="5869"/>
    <n v="143743199"/>
    <n v="24491.940535014484"/>
    <n v="1.1409235437984096E-3"/>
    <n v="164000"/>
  </r>
  <r>
    <x v="175"/>
    <x v="171"/>
    <x v="11"/>
    <x v="0"/>
    <n v="2121"/>
    <n v="3711387"/>
    <n v="1749.8288543140029"/>
    <n v="3.9877274991802257E-3"/>
    <n v="14800"/>
  </r>
  <r>
    <x v="176"/>
    <x v="172"/>
    <x v="1"/>
    <x v="1"/>
    <n v="2241"/>
    <n v="163133692"/>
    <n v="72795.04328424811"/>
    <n v="2.9791516028460879E-3"/>
    <n v="486000"/>
  </r>
  <r>
    <x v="177"/>
    <x v="173"/>
    <x v="2"/>
    <x v="1"/>
    <n v="5330"/>
    <n v="17503451"/>
    <n v="3283.9495309568479"/>
    <n v="2.8737190168955824E-3"/>
    <n v="50300"/>
  </r>
  <r>
    <x v="178"/>
    <x v="174"/>
    <x v="15"/>
    <x v="0"/>
    <n v="797"/>
    <n v="11748183"/>
    <n v="14740.505646173149"/>
    <n v="6.2392627013045333E-3"/>
    <n v="73300"/>
  </r>
  <r>
    <x v="179"/>
    <x v="140"/>
    <x v="3"/>
    <x v="1"/>
    <n v="1971"/>
    <n v="8380168"/>
    <n v="4251.7341451040083"/>
    <n v="4.9163692183736649E-3"/>
    <n v="41200"/>
  </r>
  <r>
    <x v="180"/>
    <x v="175"/>
    <x v="5"/>
    <x v="1"/>
    <n v="6223"/>
    <n v="57577738"/>
    <n v="9252.4084846537044"/>
    <n v="1.8236214837060809E-3"/>
    <n v="105000"/>
  </r>
  <r>
    <x v="181"/>
    <x v="91"/>
    <x v="0"/>
    <x v="0"/>
    <n v="1186"/>
    <n v="9179576"/>
    <n v="7739.9460370994939"/>
    <n v="3.6494060292109353E-3"/>
    <n v="33500"/>
  </r>
  <r>
    <x v="182"/>
    <x v="176"/>
    <x v="7"/>
    <x v="1"/>
    <n v="6037"/>
    <n v="195408577"/>
    <n v="32368.49047540169"/>
    <n v="3.3621860927834299E-3"/>
    <n v="657000"/>
  </r>
  <r>
    <x v="183"/>
    <x v="177"/>
    <x v="0"/>
    <x v="0"/>
    <n v="1145"/>
    <n v="10150643"/>
    <n v="8865.1903930131011"/>
    <n v="4.2558880260097805E-3"/>
    <n v="43200"/>
  </r>
  <r>
    <x v="184"/>
    <x v="178"/>
    <x v="7"/>
    <x v="1"/>
    <n v="834"/>
    <n v="1220250"/>
    <n v="1463.1294964028777"/>
    <n v="4.0729358737963536E-3"/>
    <n v="4970"/>
  </r>
  <r>
    <x v="185"/>
    <x v="179"/>
    <x v="9"/>
    <x v="1"/>
    <n v="2175"/>
    <n v="29615302"/>
    <n v="13616.230804597701"/>
    <n v="4.5584542747529643E-3"/>
    <n v="135000"/>
  </r>
  <r>
    <x v="186"/>
    <x v="180"/>
    <x v="18"/>
    <x v="0"/>
    <n v="44"/>
    <n v="63462"/>
    <n v="1442.3181818181818"/>
    <n v="5.0896599539882133E-2"/>
    <n v="3230"/>
  </r>
  <r>
    <x v="187"/>
    <x v="181"/>
    <x v="15"/>
    <x v="0"/>
    <n v="261"/>
    <n v="272015"/>
    <n v="1042.2030651340997"/>
    <n v="8.1613146333841882E-3"/>
    <n v="2220"/>
  </r>
  <r>
    <x v="188"/>
    <x v="182"/>
    <x v="2"/>
    <x v="1"/>
    <n v="60"/>
    <n v="1091947"/>
    <n v="18199.116666666665"/>
    <n v="1.2821135091721485E-2"/>
    <n v="14000"/>
  </r>
  <r>
    <x v="189"/>
    <x v="183"/>
    <x v="15"/>
    <x v="0"/>
    <n v="92"/>
    <n v="16302724"/>
    <n v="177203.52173913043"/>
    <n v="5.3917369882480991E-3"/>
    <n v="87900"/>
  </r>
  <r>
    <x v="190"/>
    <x v="184"/>
    <x v="12"/>
    <x v="2"/>
    <n v="5049"/>
    <n v="587520296"/>
    <n v="116363.69498910675"/>
    <n v="1.8892964337694981E-3"/>
    <n v="1110000"/>
  </r>
  <r>
    <x v="191"/>
    <x v="185"/>
    <x v="2"/>
    <x v="1"/>
    <n v="10077"/>
    <n v="39357109"/>
    <n v="3905.6374913168602"/>
    <n v="1.8243209886173296E-3"/>
    <n v="71800"/>
  </r>
  <r>
    <x v="192"/>
    <x v="186"/>
    <x v="18"/>
    <x v="0"/>
    <n v="1520"/>
    <n v="11096031"/>
    <n v="7300.0203947368418"/>
    <n v="7.6423723041148675E-3"/>
    <n v="84800"/>
  </r>
  <r>
    <x v="193"/>
    <x v="187"/>
    <x v="15"/>
    <x v="0"/>
    <n v="390"/>
    <n v="776181"/>
    <n v="1990.2076923076922"/>
    <n v="4.2773528339395068E-3"/>
    <n v="3320"/>
  </r>
  <r>
    <x v="194"/>
    <x v="188"/>
    <x v="5"/>
    <x v="1"/>
    <n v="1120"/>
    <n v="47705348"/>
    <n v="42594.060714285712"/>
    <n v="4.33913614884436E-3"/>
    <n v="207000"/>
  </r>
  <r>
    <x v="195"/>
    <x v="189"/>
    <x v="4"/>
    <x v="1"/>
    <n v="8799"/>
    <n v="14962295"/>
    <n v="1700.4540288669166"/>
    <n v="1.1361893345907162E-3"/>
    <n v="17000"/>
  </r>
  <r>
    <x v="196"/>
    <x v="190"/>
    <x v="18"/>
    <x v="0"/>
    <n v="17"/>
    <n v="9223"/>
    <n v="542.52941176470586"/>
    <n v="4.2394014962593519E-2"/>
    <n v="391"/>
  </r>
  <r>
    <x v="197"/>
    <x v="191"/>
    <x v="18"/>
    <x v="0"/>
    <n v="478"/>
    <n v="2760646"/>
    <n v="5775.4100418410044"/>
    <n v="5.3248406351267055E-3"/>
    <n v="14700"/>
  </r>
  <r>
    <x v="195"/>
    <x v="189"/>
    <x v="4"/>
    <x v="1"/>
    <n v="8799"/>
    <n v="14962295"/>
    <n v="1700.4540288669166"/>
    <n v="1.1361893345907162E-3"/>
    <n v="17000"/>
  </r>
  <r>
    <x v="196"/>
    <x v="190"/>
    <x v="18"/>
    <x v="0"/>
    <n v="17"/>
    <n v="9223"/>
    <n v="542.52941176470586"/>
    <n v="4.2394014962593519E-2"/>
    <n v="391"/>
  </r>
  <r>
    <x v="198"/>
    <x v="192"/>
    <x v="1"/>
    <x v="1"/>
    <n v="5797"/>
    <n v="82109414"/>
    <n v="14164.121787131275"/>
    <n v="1.3153181193084633E-3"/>
    <n v="108000"/>
  </r>
  <r>
    <x v="199"/>
    <x v="193"/>
    <x v="2"/>
    <x v="1"/>
    <n v="6542"/>
    <n v="4512060"/>
    <n v="689.70651177010086"/>
    <n v="2.6595391018736452E-3"/>
    <n v="12000"/>
  </r>
  <r>
    <x v="200"/>
    <x v="194"/>
    <x v="15"/>
    <x v="0"/>
    <n v="15"/>
    <n v="7346"/>
    <n v="489.73333333333335"/>
    <n v="1.4701878573373264E-2"/>
    <n v="108"/>
  </r>
  <r>
    <x v="201"/>
    <x v="195"/>
    <x v="7"/>
    <x v="1"/>
    <n v="565"/>
    <n v="14243848"/>
    <n v="25210.350442477877"/>
    <n v="3.3207318696464607E-3"/>
    <n v="47300"/>
  </r>
  <r>
    <x v="202"/>
    <x v="196"/>
    <x v="13"/>
    <x v="1"/>
    <n v="28484"/>
    <n v="3193685742"/>
    <n v="112122.09457941301"/>
    <n v="1.1554048513518398E-3"/>
    <n v="3690000"/>
  </r>
  <r>
    <x v="203"/>
    <x v="197"/>
    <x v="15"/>
    <x v="0"/>
    <n v="338"/>
    <n v="111091"/>
    <n v="328.67159763313612"/>
    <n v="9.8117759314435907E-3"/>
    <n v="1090"/>
  </r>
  <r>
    <x v="204"/>
    <x v="198"/>
    <x v="0"/>
    <x v="0"/>
    <n v="920"/>
    <n v="23413479"/>
    <n v="25449.433695652173"/>
    <n v="2.3277190032288666E-3"/>
    <n v="54500"/>
  </r>
  <r>
    <x v="205"/>
    <x v="199"/>
    <x v="6"/>
    <x v="1"/>
    <n v="3074"/>
    <n v="62702740"/>
    <n v="20397.768379960962"/>
    <n v="2.6314639519740284E-3"/>
    <n v="165000"/>
  </r>
  <r>
    <x v="206"/>
    <x v="200"/>
    <x v="7"/>
    <x v="1"/>
    <n v="3245"/>
    <n v="88888016"/>
    <n v="27392.300770416026"/>
    <n v="1.8562682285540044E-3"/>
    <n v="165000"/>
  </r>
  <r>
    <x v="207"/>
    <x v="201"/>
    <x v="0"/>
    <x v="0"/>
    <n v="1584"/>
    <n v="236976267"/>
    <n v="149606.22916666666"/>
    <n v="2.5572181031951187E-3"/>
    <n v="606000"/>
  </r>
  <r>
    <x v="208"/>
    <x v="202"/>
    <x v="18"/>
    <x v="0"/>
    <n v="110"/>
    <n v="195545"/>
    <n v="1777.6818181818182"/>
    <n v="3.5746247666777468E-2"/>
    <n v="6990"/>
  </r>
  <r>
    <x v="209"/>
    <x v="203"/>
    <x v="15"/>
    <x v="0"/>
    <n v="2394"/>
    <n v="84293238"/>
    <n v="35210.208020050122"/>
    <n v="1.5066451712295119E-3"/>
    <n v="127000"/>
  </r>
  <r>
    <x v="210"/>
    <x v="204"/>
    <x v="6"/>
    <x v="1"/>
    <n v="13312"/>
    <n v="548241128"/>
    <n v="41183.978966346156"/>
    <n v="1.1710175818841523E-3"/>
    <n v="642000"/>
  </r>
  <r>
    <x v="211"/>
    <x v="205"/>
    <x v="18"/>
    <x v="0"/>
    <n v="384"/>
    <n v="15126348"/>
    <n v="39391.53125"/>
    <n v="2.6245594772776617E-3"/>
    <n v="39700"/>
  </r>
  <r>
    <x v="212"/>
    <x v="206"/>
    <x v="11"/>
    <x v="0"/>
    <n v="8018"/>
    <n v="12789832"/>
    <n v="1595.1399351459218"/>
    <n v="1.9937713020780883E-3"/>
    <n v="25500"/>
  </r>
  <r>
    <x v="213"/>
    <x v="207"/>
    <x v="6"/>
    <x v="1"/>
    <n v="18479"/>
    <n v="233111816"/>
    <n v="12614.958385194004"/>
    <n v="2.6854065604293522E-3"/>
    <n v="626000"/>
  </r>
  <r>
    <x v="214"/>
    <x v="208"/>
    <x v="13"/>
    <x v="1"/>
    <n v="2945"/>
    <n v="215146488"/>
    <n v="73054.834634974526"/>
    <n v="2.6818936500604186E-3"/>
    <n v="577000"/>
  </r>
  <r>
    <x v="215"/>
    <x v="209"/>
    <x v="3"/>
    <x v="1"/>
    <n v="1388"/>
    <n v="16712164"/>
    <n v="12040.463976945244"/>
    <n v="1.5976387019658257E-3"/>
    <n v="26700"/>
  </r>
  <r>
    <x v="216"/>
    <x v="210"/>
    <x v="6"/>
    <x v="1"/>
    <n v="4400"/>
    <n v="2806307"/>
    <n v="637.79704545454547"/>
    <n v="3.2925834557658872E-3"/>
    <n v="9240"/>
  </r>
  <r>
    <x v="217"/>
    <x v="211"/>
    <x v="10"/>
    <x v="2"/>
    <n v="3045"/>
    <n v="610508"/>
    <n v="200.49523809523811"/>
    <n v="3.4725179686425074E-3"/>
    <n v="2120"/>
  </r>
  <r>
    <x v="218"/>
    <x v="212"/>
    <x v="16"/>
    <x v="2"/>
    <n v="6975"/>
    <n v="793229817"/>
    <n v="113724.70494623655"/>
    <n v="1.9414297937315184E-3"/>
    <n v="1540000"/>
  </r>
  <r>
    <x v="219"/>
    <x v="213"/>
    <x v="12"/>
    <x v="2"/>
    <n v="850"/>
    <n v="131953339"/>
    <n v="155239.22235294117"/>
    <n v="2.6448743369805899E-3"/>
    <n v="349000"/>
  </r>
  <r>
    <x v="220"/>
    <x v="214"/>
    <x v="4"/>
    <x v="1"/>
    <n v="5804"/>
    <n v="24242077"/>
    <n v="4176.7879048931773"/>
    <n v="2.4214096836669566E-3"/>
    <n v="58700"/>
  </r>
  <r>
    <x v="221"/>
    <x v="215"/>
    <x v="15"/>
    <x v="0"/>
    <n v="225"/>
    <n v="3792796"/>
    <n v="16856.871111111112"/>
    <n v="6.2223225293424689E-3"/>
    <n v="23600"/>
  </r>
  <r>
    <x v="222"/>
    <x v="216"/>
    <x v="18"/>
    <x v="0"/>
    <n v="639"/>
    <n v="1949513"/>
    <n v="3050.8810641627542"/>
    <n v="7.0786909346077708E-3"/>
    <n v="13800"/>
  </r>
  <r>
    <x v="223"/>
    <x v="217"/>
    <x v="7"/>
    <x v="1"/>
    <n v="34"/>
    <n v="310656"/>
    <n v="9136.9411764705874"/>
    <n v="7.4680675731355582E-3"/>
    <n v="2320"/>
  </r>
  <r>
    <x v="224"/>
    <x v="218"/>
    <x v="11"/>
    <x v="0"/>
    <n v="14441"/>
    <n v="618521700"/>
    <n v="42830.946610345542"/>
    <n v="1.340292507118182E-3"/>
    <n v="829000"/>
  </r>
  <r>
    <x v="225"/>
    <x v="219"/>
    <x v="10"/>
    <x v="2"/>
    <n v="24188"/>
    <n v="569180003"/>
    <n v="23531.503348767983"/>
    <n v="2.7934923778409693E-3"/>
    <n v="1590000"/>
  </r>
  <r>
    <x v="226"/>
    <x v="220"/>
    <x v="0"/>
    <x v="0"/>
    <n v="690"/>
    <n v="747985"/>
    <n v="1084.036231884058"/>
    <n v="8.5696905686611369E-3"/>
    <n v="6410"/>
  </r>
  <r>
    <x v="227"/>
    <x v="221"/>
    <x v="8"/>
    <x v="2"/>
    <n v="1082"/>
    <n v="11360917"/>
    <n v="10499.923290203327"/>
    <n v="3.9257394451521826E-3"/>
    <n v="44600"/>
  </r>
  <r>
    <x v="228"/>
    <x v="222"/>
    <x v="11"/>
    <x v="0"/>
    <n v="804"/>
    <n v="9121664"/>
    <n v="11345.353233830845"/>
    <n v="3.93568541880078E-3"/>
    <n v="35900"/>
  </r>
  <r>
    <x v="229"/>
    <x v="223"/>
    <x v="3"/>
    <x v="1"/>
    <n v="973"/>
    <n v="15320661"/>
    <n v="15745.79753340185"/>
    <n v="2.1408997953808913E-3"/>
    <n v="32800"/>
  </r>
  <r>
    <x v="230"/>
    <x v="224"/>
    <x v="13"/>
    <x v="1"/>
    <n v="5204"/>
    <n v="11974268"/>
    <n v="2300.9738662567256"/>
    <n v="1.6034383062079453E-3"/>
    <n v="19200"/>
  </r>
  <r>
    <x v="231"/>
    <x v="128"/>
    <x v="0"/>
    <x v="0"/>
    <n v="1059"/>
    <n v="26787045"/>
    <n v="25294.660056657223"/>
    <n v="6.831660603101238E-3"/>
    <n v="183000"/>
  </r>
  <r>
    <x v="232"/>
    <x v="225"/>
    <x v="4"/>
    <x v="1"/>
    <n v="15000"/>
    <n v="25211805"/>
    <n v="1680.787"/>
    <n v="1.3763393775257265E-3"/>
    <n v="34700"/>
  </r>
  <r>
    <x v="233"/>
    <x v="226"/>
    <x v="6"/>
    <x v="1"/>
    <n v="2904"/>
    <n v="71214529"/>
    <n v="24522.909435261707"/>
    <n v="2.5977845054623613E-3"/>
    <n v="185000"/>
  </r>
  <r>
    <x v="234"/>
    <x v="227"/>
    <x v="7"/>
    <x v="1"/>
    <n v="7622"/>
    <n v="6072915"/>
    <n v="796.76134872736816"/>
    <n v="2.2394517295236307E-3"/>
    <n v="13600"/>
  </r>
  <r>
    <x v="235"/>
    <x v="228"/>
    <x v="18"/>
    <x v="0"/>
    <n v="524"/>
    <n v="3253868"/>
    <n v="6209.6717557251905"/>
    <n v="8.0212227416723725E-3"/>
    <n v="26100"/>
  </r>
  <r>
    <x v="236"/>
    <x v="229"/>
    <x v="0"/>
    <x v="0"/>
    <n v="2138"/>
    <n v="33907572"/>
    <n v="15859.481758652946"/>
    <n v="2.610036483886254E-3"/>
    <n v="88500"/>
  </r>
  <r>
    <x v="237"/>
    <x v="230"/>
    <x v="15"/>
    <x v="0"/>
    <n v="299"/>
    <n v="125266"/>
    <n v="418.94983277591973"/>
    <n v="1.3171970047738412E-2"/>
    <n v="1650"/>
  </r>
  <r>
    <x v="238"/>
    <x v="231"/>
    <x v="3"/>
    <x v="1"/>
    <n v="118"/>
    <n v="89078386"/>
    <n v="754901.57627118647"/>
    <n v="7.6112739626871999E-3"/>
    <n v="678000"/>
  </r>
  <r>
    <x v="108"/>
    <x v="106"/>
    <x v="1"/>
    <x v="1"/>
    <n v="15692"/>
    <n v="5473049"/>
    <n v="348.77956920723938"/>
    <n v="1.0761825812266618E-3"/>
    <n v="5890"/>
  </r>
  <r>
    <x v="239"/>
    <x v="232"/>
    <x v="15"/>
    <x v="0"/>
    <n v="577"/>
    <n v="801929"/>
    <n v="1389.8249566724437"/>
    <n v="5.3994805026380144E-3"/>
    <n v="4330"/>
  </r>
  <r>
    <x v="240"/>
    <x v="233"/>
    <x v="7"/>
    <x v="1"/>
    <n v="530"/>
    <n v="46373440"/>
    <n v="87497.056603773584"/>
    <n v="3.2777382915737973E-3"/>
    <n v="152000"/>
  </r>
  <r>
    <x v="241"/>
    <x v="234"/>
    <x v="9"/>
    <x v="1"/>
    <n v="413"/>
    <n v="11786470"/>
    <n v="28538.668280871672"/>
    <n v="6.8722866133795781E-3"/>
    <n v="81000"/>
  </r>
  <r>
    <x v="242"/>
    <x v="235"/>
    <x v="18"/>
    <x v="0"/>
    <n v="22"/>
    <n v="39824"/>
    <n v="1810.1818181818182"/>
    <n v="4.5952189634391322E-3"/>
    <n v="183"/>
  </r>
  <r>
    <x v="243"/>
    <x v="236"/>
    <x v="0"/>
    <x v="0"/>
    <n v="1124"/>
    <n v="10264363"/>
    <n v="9131.9955516014234"/>
    <n v="4.5984344084479475E-3"/>
    <n v="47200"/>
  </r>
  <r>
    <x v="214"/>
    <x v="208"/>
    <x v="13"/>
    <x v="1"/>
    <n v="2945"/>
    <n v="215146488"/>
    <n v="73054.834634974526"/>
    <n v="2.6818936500604186E-3"/>
    <n v="577000"/>
  </r>
  <r>
    <x v="244"/>
    <x v="237"/>
    <x v="1"/>
    <x v="1"/>
    <n v="1571"/>
    <n v="55367459"/>
    <n v="35243.449395289623"/>
    <n v="4.6417156330038553E-3"/>
    <n v="257000"/>
  </r>
  <r>
    <x v="245"/>
    <x v="238"/>
    <x v="13"/>
    <x v="1"/>
    <n v="2456"/>
    <n v="8201172"/>
    <n v="3339.2394136807816"/>
    <n v="5.5114073939675941E-3"/>
    <n v="45200"/>
  </r>
  <r>
    <x v="246"/>
    <x v="239"/>
    <x v="3"/>
    <x v="1"/>
    <n v="82"/>
    <n v="484636"/>
    <n v="5910.1951219512193"/>
    <n v="1.7642106653240782E-2"/>
    <n v="8550"/>
  </r>
  <r>
    <x v="247"/>
    <x v="106"/>
    <x v="1"/>
    <x v="1"/>
    <n v="181"/>
    <n v="1737987"/>
    <n v="9602.138121546961"/>
    <n v="4.6893331192926066E-3"/>
    <n v="8150"/>
  </r>
  <r>
    <x v="248"/>
    <x v="240"/>
    <x v="11"/>
    <x v="0"/>
    <n v="285"/>
    <n v="123916282"/>
    <n v="434793.97192982456"/>
    <n v="5.705464920259631E-3"/>
    <n v="707000"/>
  </r>
  <r>
    <x v="249"/>
    <x v="241"/>
    <x v="11"/>
    <x v="0"/>
    <n v="598"/>
    <n v="279211"/>
    <n v="466.90802675585286"/>
    <n v="9.0970627948039288E-3"/>
    <n v="2540"/>
  </r>
  <r>
    <x v="250"/>
    <x v="242"/>
    <x v="7"/>
    <x v="1"/>
    <n v="120"/>
    <n v="221852"/>
    <n v="1848.7666666666667"/>
    <n v="1.7263761426536611E-2"/>
    <n v="3830"/>
  </r>
  <r>
    <x v="251"/>
    <x v="243"/>
    <x v="18"/>
    <x v="0"/>
    <n v="25"/>
    <n v="196631"/>
    <n v="7865.24"/>
    <n v="5.2382381211507852E-2"/>
    <n v="10300"/>
  </r>
  <r>
    <x v="252"/>
    <x v="244"/>
    <x v="3"/>
    <x v="1"/>
    <n v="3315"/>
    <n v="199529224"/>
    <n v="60189.811161387632"/>
    <n v="2.4858513958837427E-3"/>
    <n v="496000"/>
  </r>
  <r>
    <x v="253"/>
    <x v="245"/>
    <x v="11"/>
    <x v="0"/>
    <n v="1390"/>
    <n v="659236"/>
    <n v="474.27050359712229"/>
    <n v="3.9742975201596999E-3"/>
    <n v="2620"/>
  </r>
  <r>
    <x v="254"/>
    <x v="246"/>
    <x v="11"/>
    <x v="0"/>
    <n v="1683"/>
    <n v="7967432"/>
    <n v="4734.0653594771238"/>
    <n v="2.5353212929837368E-3"/>
    <n v="20200"/>
  </r>
  <r>
    <x v="255"/>
    <x v="247"/>
    <x v="18"/>
    <x v="0"/>
    <n v="4"/>
    <n v="13863"/>
    <n v="3465.75"/>
    <n v="1.4643295102070259E-2"/>
    <n v="203"/>
  </r>
  <r>
    <x v="256"/>
    <x v="248"/>
    <x v="18"/>
    <x v="0"/>
    <n v="31"/>
    <n v="34719"/>
    <n v="1119.9677419354839"/>
    <n v="1.4401336444022006E-2"/>
    <n v="500"/>
  </r>
  <r>
    <x v="257"/>
    <x v="249"/>
    <x v="3"/>
    <x v="1"/>
    <n v="2448"/>
    <n v="1437079"/>
    <n v="587.04207516339875"/>
    <n v="2.9921806664769297E-3"/>
    <n v="4300"/>
  </r>
  <r>
    <x v="258"/>
    <x v="250"/>
    <x v="0"/>
    <x v="0"/>
    <n v="1390"/>
    <n v="544066"/>
    <n v="391.41438848920865"/>
    <n v="7.4071895689125948E-3"/>
    <n v="4030"/>
  </r>
  <r>
    <x v="259"/>
    <x v="251"/>
    <x v="2"/>
    <x v="1"/>
    <n v="24563"/>
    <n v="1873071275"/>
    <n v="76255.802426413706"/>
    <n v="2.2209512555788889E-3"/>
    <n v="4160000"/>
  </r>
  <r>
    <x v="260"/>
    <x v="252"/>
    <x v="2"/>
    <x v="1"/>
    <n v="1527"/>
    <n v="2225633"/>
    <n v="1457.5199738048461"/>
    <n v="2.0443622106609671E-3"/>
    <n v="4550"/>
  </r>
  <r>
    <x v="261"/>
    <x v="253"/>
    <x v="6"/>
    <x v="1"/>
    <n v="1333"/>
    <n v="2888355"/>
    <n v="2166.8079519879971"/>
    <n v="1.9041980642961132E-2"/>
    <n v="55000"/>
  </r>
  <r>
    <x v="262"/>
    <x v="254"/>
    <x v="18"/>
    <x v="0"/>
    <n v="108"/>
    <n v="68482"/>
    <n v="634.09259259259261"/>
    <n v="5.81174615227359E-3"/>
    <n v="398"/>
  </r>
  <r>
    <x v="263"/>
    <x v="255"/>
    <x v="6"/>
    <x v="1"/>
    <n v="4387"/>
    <n v="2729764"/>
    <n v="622.23934351493051"/>
    <n v="1.7657204065992518E-3"/>
    <n v="4820"/>
  </r>
  <r>
    <x v="264"/>
    <x v="256"/>
    <x v="15"/>
    <x v="0"/>
    <n v="5591"/>
    <n v="38999597"/>
    <n v="6975.4242532641747"/>
    <n v="2.5025899626603832E-3"/>
    <n v="97600"/>
  </r>
  <r>
    <x v="265"/>
    <x v="257"/>
    <x v="16"/>
    <x v="2"/>
    <n v="1445"/>
    <n v="1498060"/>
    <n v="1036.7197231833909"/>
    <n v="6.3615609521647997E-3"/>
    <n v="9530"/>
  </r>
  <r>
    <x v="266"/>
    <x v="258"/>
    <x v="18"/>
    <x v="0"/>
    <n v="628"/>
    <n v="208763"/>
    <n v="332.42515923566879"/>
    <n v="8.9096247898334483E-3"/>
    <n v="1860"/>
  </r>
  <r>
    <x v="267"/>
    <x v="239"/>
    <x v="3"/>
    <x v="1"/>
    <n v="619"/>
    <n v="648907"/>
    <n v="1048.3150242326333"/>
    <n v="5.4553271886418238E-3"/>
    <n v="3540"/>
  </r>
  <r>
    <x v="268"/>
    <x v="259"/>
    <x v="18"/>
    <x v="0"/>
    <n v="46"/>
    <n v="17215"/>
    <n v="374.23913043478262"/>
    <n v="7.4934650014522215E-3"/>
    <n v="129"/>
  </r>
  <r>
    <x v="269"/>
    <x v="260"/>
    <x v="0"/>
    <x v="0"/>
    <n v="2837"/>
    <n v="3859259"/>
    <n v="1360.330983433204"/>
    <n v="4.6641077989323853E-3"/>
    <n v="18000"/>
  </r>
  <r>
    <x v="270"/>
    <x v="261"/>
    <x v="18"/>
    <x v="0"/>
    <n v="303"/>
    <n v="3557554"/>
    <n v="11741.102310231023"/>
    <n v="3.8790697203752917E-3"/>
    <n v="13800"/>
  </r>
  <r>
    <x v="271"/>
    <x v="262"/>
    <x v="1"/>
    <x v="1"/>
    <n v="1164"/>
    <n v="3171289"/>
    <n v="2724.475085910653"/>
    <n v="4.3515428584402112E-3"/>
    <n v="13800"/>
  </r>
  <r>
    <x v="272"/>
    <x v="263"/>
    <x v="18"/>
    <x v="0"/>
    <n v="54"/>
    <n v="10216"/>
    <n v="189.18518518518519"/>
    <n v="0.12333594361785434"/>
    <n v="1260"/>
  </r>
  <r>
    <x v="273"/>
    <x v="264"/>
    <x v="18"/>
    <x v="0"/>
    <n v="302"/>
    <n v="4320421"/>
    <n v="14306.029801324503"/>
    <n v="9.5823994930123706E-3"/>
    <n v="41400"/>
  </r>
  <r>
    <x v="274"/>
    <x v="265"/>
    <x v="5"/>
    <x v="1"/>
    <n v="6171"/>
    <n v="76024459"/>
    <n v="12319.633608815428"/>
    <n v="1.6442076884756261E-3"/>
    <n v="125000"/>
  </r>
  <r>
    <x v="275"/>
    <x v="266"/>
    <x v="6"/>
    <x v="1"/>
    <n v="8646"/>
    <n v="181602689"/>
    <n v="21004.243465186213"/>
    <n v="3.2158114134532446E-3"/>
    <n v="584000"/>
  </r>
  <r>
    <x v="276"/>
    <x v="267"/>
    <x v="0"/>
    <x v="0"/>
    <n v="20"/>
    <n v="543911"/>
    <n v="27195.55"/>
    <n v="3.2725942295706465E-3"/>
    <n v="1780"/>
  </r>
  <r>
    <x v="277"/>
    <x v="268"/>
    <x v="19"/>
    <x v="0"/>
    <n v="6"/>
    <n v="432"/>
    <n v="72"/>
    <n v="0.14351851851851852"/>
    <n v="62"/>
  </r>
  <r>
    <x v="278"/>
    <x v="269"/>
    <x v="17"/>
    <x v="2"/>
    <n v="1712"/>
    <n v="14123729"/>
    <n v="8249.8417056074759"/>
    <n v="4.1844473226582014E-3"/>
    <n v="59100"/>
  </r>
  <r>
    <x v="279"/>
    <x v="270"/>
    <x v="15"/>
    <x v="0"/>
    <n v="305"/>
    <n v="352534"/>
    <n v="1155.8491803278689"/>
    <n v="7.9141302682861799E-3"/>
    <n v="2790"/>
  </r>
  <r>
    <x v="280"/>
    <x v="271"/>
    <x v="0"/>
    <x v="0"/>
    <n v="477"/>
    <n v="903528"/>
    <n v="1894.1886792452831"/>
    <n v="8.7656386963104634E-3"/>
    <n v="7920"/>
  </r>
  <r>
    <x v="281"/>
    <x v="272"/>
    <x v="15"/>
    <x v="0"/>
    <n v="898"/>
    <n v="3869792"/>
    <n v="4309.3452115812916"/>
    <n v="7.0804839123136338E-3"/>
    <n v="27400"/>
  </r>
  <r>
    <x v="282"/>
    <x v="273"/>
    <x v="18"/>
    <x v="0"/>
    <n v="269"/>
    <n v="152540"/>
    <n v="567.06319702602229"/>
    <n v="1.3832437393470565E-2"/>
    <n v="2110"/>
  </r>
  <r>
    <x v="283"/>
    <x v="274"/>
    <x v="1"/>
    <x v="1"/>
    <n v="7"/>
    <n v="355554"/>
    <n v="50793.428571428572"/>
    <n v="4.2187684571119996E-3"/>
    <n v="1500"/>
  </r>
  <r>
    <x v="284"/>
    <x v="275"/>
    <x v="19"/>
    <x v="0"/>
    <n v="213"/>
    <n v="206891"/>
    <n v="971.31924882629107"/>
    <n v="3.9972739268503707E-3"/>
    <n v="827"/>
  </r>
  <r>
    <x v="285"/>
    <x v="276"/>
    <x v="1"/>
    <x v="1"/>
    <n v="75"/>
    <n v="3819704"/>
    <n v="50929.386666666665"/>
    <n v="8.0372719980396391E-4"/>
    <n v="3070"/>
  </r>
  <r>
    <x v="286"/>
    <x v="277"/>
    <x v="11"/>
    <x v="0"/>
    <n v="158"/>
    <n v="7121"/>
    <n v="45.069620253164558"/>
    <n v="6.0384777418901843E-3"/>
    <n v="43"/>
  </r>
  <r>
    <x v="287"/>
    <x v="278"/>
    <x v="15"/>
    <x v="0"/>
    <n v="1410"/>
    <n v="2131124"/>
    <n v="1511.4354609929078"/>
    <n v="9.9478021926457591E-3"/>
    <n v="21200"/>
  </r>
  <r>
    <x v="288"/>
    <x v="279"/>
    <x v="18"/>
    <x v="0"/>
    <n v="295"/>
    <n v="212504"/>
    <n v="720.35254237288132"/>
    <n v="7.5292700372698871E-3"/>
    <n v="1600"/>
  </r>
  <r>
    <x v="289"/>
    <x v="280"/>
    <x v="11"/>
    <x v="0"/>
    <n v="94"/>
    <n v="1877500"/>
    <n v="19973.40425531915"/>
    <n v="1.0812250332889481E-2"/>
    <n v="20300"/>
  </r>
  <r>
    <x v="290"/>
    <x v="281"/>
    <x v="15"/>
    <x v="0"/>
    <n v="265"/>
    <n v="14542787"/>
    <n v="54878.441509433964"/>
    <n v="3.2868527882585368E-3"/>
    <n v="47800"/>
  </r>
  <r>
    <x v="291"/>
    <x v="282"/>
    <x v="18"/>
    <x v="0"/>
    <n v="1057"/>
    <n v="289359"/>
    <n v="273.7549668874172"/>
    <n v="6.3934420564074387E-3"/>
    <n v="1850"/>
  </r>
  <r>
    <x v="292"/>
    <x v="283"/>
    <x v="19"/>
    <x v="0"/>
    <n v="16"/>
    <n v="17780"/>
    <n v="1111.25"/>
    <n v="2.3284589426321708E-2"/>
    <n v="414"/>
  </r>
  <r>
    <x v="293"/>
    <x v="284"/>
    <x v="0"/>
    <x v="0"/>
    <n v="859"/>
    <n v="527372"/>
    <n v="613.93713620488938"/>
    <n v="9.1965443747487538E-3"/>
    <n v="4850"/>
  </r>
  <r>
    <x v="294"/>
    <x v="285"/>
    <x v="18"/>
    <x v="0"/>
    <n v="536"/>
    <n v="676989"/>
    <n v="1263.0391791044776"/>
    <n v="5.6130897252392583E-3"/>
    <n v="3800"/>
  </r>
  <r>
    <x v="295"/>
    <x v="286"/>
    <x v="7"/>
    <x v="1"/>
    <n v="11"/>
    <n v="591056"/>
    <n v="53732.36363636364"/>
    <n v="3.8744213746244012E-3"/>
    <n v="2290"/>
  </r>
  <r>
    <x v="289"/>
    <x v="280"/>
    <x v="11"/>
    <x v="0"/>
    <n v="94"/>
    <n v="1877500"/>
    <n v="19973.40425531915"/>
    <n v="1.0812250332889481E-2"/>
    <n v="20300"/>
  </r>
  <r>
    <x v="296"/>
    <x v="287"/>
    <x v="7"/>
    <x v="1"/>
    <n v="9136"/>
    <n v="204996517"/>
    <n v="22438.322788966725"/>
    <n v="1.2390454419281671E-3"/>
    <n v="254000"/>
  </r>
  <r>
    <x v="297"/>
    <x v="288"/>
    <x v="18"/>
    <x v="0"/>
    <n v="961"/>
    <n v="242963"/>
    <n v="252.82310093652444"/>
    <n v="4.1158530311199652E-3"/>
    <n v="1000"/>
  </r>
  <r>
    <x v="298"/>
    <x v="289"/>
    <x v="1"/>
    <x v="1"/>
    <n v="96"/>
    <n v="184150"/>
    <n v="1918.2291666666667"/>
    <n v="2.2210154765137115E-3"/>
    <n v="409"/>
  </r>
  <r>
    <x v="299"/>
    <x v="169"/>
    <x v="11"/>
    <x v="0"/>
    <n v="3"/>
    <n v="231"/>
    <n v="77"/>
    <n v="0.25108225108225107"/>
    <n v="58"/>
  </r>
  <r>
    <x v="300"/>
    <x v="290"/>
    <x v="15"/>
    <x v="0"/>
    <n v="916"/>
    <n v="1641760"/>
    <n v="1792.3144104803494"/>
    <n v="6.1519345093070847E-3"/>
    <n v="10100"/>
  </r>
  <r>
    <x v="301"/>
    <x v="291"/>
    <x v="2"/>
    <x v="1"/>
    <n v="81"/>
    <n v="780034"/>
    <n v="9630.0493827160499"/>
    <n v="1.1127720073740376E-2"/>
    <n v="8680"/>
  </r>
  <r>
    <x v="302"/>
    <x v="292"/>
    <x v="11"/>
    <x v="0"/>
    <n v="48"/>
    <n v="41714"/>
    <n v="869.04166666666663"/>
    <n v="6.1610011027472787E-3"/>
    <n v="257"/>
  </r>
  <r>
    <x v="303"/>
    <x v="230"/>
    <x v="15"/>
    <x v="0"/>
    <n v="18"/>
    <n v="17918"/>
    <n v="995.44444444444446"/>
    <n v="3.2481303716932697E-2"/>
    <n v="582"/>
  </r>
  <r>
    <x v="304"/>
    <x v="293"/>
    <x v="15"/>
    <x v="0"/>
    <n v="3698"/>
    <n v="3289430"/>
    <n v="889.51595457003782"/>
    <n v="4.955265805929903E-3"/>
    <n v="16300"/>
  </r>
  <r>
    <x v="305"/>
    <x v="294"/>
    <x v="18"/>
    <x v="0"/>
    <n v="179"/>
    <n v="1365492"/>
    <n v="7628.4469273743016"/>
    <n v="2.2629206176235379E-2"/>
    <n v="30900"/>
  </r>
  <r>
    <x v="306"/>
    <x v="295"/>
    <x v="6"/>
    <x v="1"/>
    <n v="615"/>
    <n v="146971"/>
    <n v="238.97723577235772"/>
    <n v="4.4294452647120862E-2"/>
    <n v="6510"/>
  </r>
  <r>
    <x v="307"/>
    <x v="296"/>
    <x v="18"/>
    <x v="0"/>
    <n v="52"/>
    <n v="4228"/>
    <n v="81.307692307692307"/>
    <n v="2.1759697256385997E-2"/>
    <n v="92"/>
  </r>
  <r>
    <x v="308"/>
    <x v="297"/>
    <x v="18"/>
    <x v="0"/>
    <n v="26"/>
    <n v="1889"/>
    <n v="72.65384615384616"/>
    <n v="4.1291688724192692E-2"/>
    <n v="78"/>
  </r>
  <r>
    <x v="309"/>
    <x v="298"/>
    <x v="11"/>
    <x v="0"/>
    <n v="197"/>
    <n v="8160151"/>
    <n v="41422.086294416244"/>
    <n v="1.9117293295185347E-3"/>
    <n v="15600"/>
  </r>
  <r>
    <x v="310"/>
    <x v="299"/>
    <x v="19"/>
    <x v="0"/>
    <n v="96"/>
    <n v="9161"/>
    <n v="95.427083333333329"/>
    <n v="2.314157843030237E-2"/>
    <n v="212"/>
  </r>
  <r>
    <x v="311"/>
    <x v="300"/>
    <x v="2"/>
    <x v="1"/>
    <n v="235"/>
    <n v="24458"/>
    <n v="104.07659574468084"/>
    <n v="2.6576171395862294E-3"/>
    <n v="65"/>
  </r>
  <r>
    <x v="312"/>
    <x v="301"/>
    <x v="11"/>
    <x v="0"/>
    <n v="39"/>
    <n v="1573181"/>
    <n v="40337.974358974359"/>
    <n v="5.8798065829678845E-3"/>
    <n v="9250"/>
  </r>
  <r>
    <x v="313"/>
    <x v="126"/>
    <x v="3"/>
    <x v="1"/>
    <n v="9"/>
    <n v="233"/>
    <n v="25.888888888888889"/>
    <n v="4.2918454935622317E-3"/>
    <n v="1"/>
  </r>
  <r>
    <x v="314"/>
    <x v="302"/>
    <x v="18"/>
    <x v="0"/>
    <n v="1"/>
    <n v="11"/>
    <n v="11"/>
    <n v="9.0909090909090912E-2"/>
    <n v="1"/>
  </r>
  <r>
    <x v="315"/>
    <x v="303"/>
    <x v="11"/>
    <x v="0"/>
    <n v="12"/>
    <n v="79181"/>
    <n v="6598.416666666667"/>
    <n v="1.490256500928253E-3"/>
    <n v="118"/>
  </r>
  <r>
    <x v="316"/>
    <x v="304"/>
    <x v="18"/>
    <x v="0"/>
    <n v="97"/>
    <n v="171029"/>
    <n v="1763.1855670103093"/>
    <n v="5.0634687684544726E-3"/>
    <n v="866"/>
  </r>
  <r>
    <x v="317"/>
    <x v="305"/>
    <x v="0"/>
    <x v="0"/>
    <n v="491"/>
    <n v="2489507"/>
    <n v="5070.2790224032588"/>
    <n v="4.2578711367351049E-3"/>
    <n v="10600"/>
  </r>
  <r>
    <x v="318"/>
    <x v="306"/>
    <x v="15"/>
    <x v="0"/>
    <n v="44"/>
    <n v="40851"/>
    <n v="928.43181818181813"/>
    <n v="2.2031284423881911E-3"/>
    <n v="90"/>
  </r>
  <r>
    <x v="319"/>
    <x v="247"/>
    <x v="18"/>
    <x v="0"/>
    <n v="10"/>
    <n v="12515"/>
    <n v="1251.5"/>
    <n v="1.3583699560527367E-2"/>
    <n v="170"/>
  </r>
  <r>
    <x v="320"/>
    <x v="307"/>
    <x v="7"/>
    <x v="1"/>
    <n v="21"/>
    <n v="17390"/>
    <n v="828.09523809523807"/>
    <n v="2.7084531339850488"/>
    <n v="47100"/>
  </r>
  <r>
    <x v="321"/>
    <x v="308"/>
    <x v="18"/>
    <x v="0"/>
    <n v="322"/>
    <n v="1685075"/>
    <n v="5233.152173913043"/>
    <n v="1.9346319896740502E-3"/>
    <n v="3260"/>
  </r>
  <r>
    <x v="322"/>
    <x v="309"/>
    <x v="18"/>
    <x v="0"/>
    <n v="103"/>
    <n v="374903"/>
    <n v="3639.8349514563106"/>
    <n v="9.5758102762581246E-3"/>
    <n v="3590"/>
  </r>
  <r>
    <x v="323"/>
    <x v="310"/>
    <x v="3"/>
    <x v="1"/>
    <n v="60"/>
    <n v="2960"/>
    <n v="49.333333333333336"/>
    <n v="2.0270270270270271E-2"/>
    <n v="60"/>
  </r>
  <r>
    <x v="324"/>
    <x v="311"/>
    <x v="5"/>
    <x v="1"/>
    <n v="13"/>
    <n v="4444"/>
    <n v="341.84615384615387"/>
    <n v="1.4176417641764177E-2"/>
    <n v="63"/>
  </r>
  <r>
    <x v="325"/>
    <x v="312"/>
    <x v="0"/>
    <x v="0"/>
    <n v="72"/>
    <n v="69843"/>
    <n v="970.04166666666663"/>
    <n v="2.5772088827799495E-3"/>
    <n v="180"/>
  </r>
  <r>
    <x v="326"/>
    <x v="166"/>
    <x v="0"/>
    <x v="0"/>
    <n v="12"/>
    <n v="9181"/>
    <n v="765.08333333333337"/>
    <n v="0.10892059688487093"/>
    <n v="1000"/>
  </r>
  <r>
    <x v="327"/>
    <x v="229"/>
    <x v="0"/>
    <x v="0"/>
    <n v="27"/>
    <n v="625616"/>
    <n v="23170.962962962964"/>
    <n v="3.8681875143858212E-3"/>
    <n v="2420"/>
  </r>
  <r>
    <x v="328"/>
    <x v="313"/>
    <x v="18"/>
    <x v="0"/>
    <n v="12"/>
    <n v="9975"/>
    <n v="831.25"/>
    <n v="5.6240601503759396E-2"/>
    <n v="561"/>
  </r>
  <r>
    <x v="329"/>
    <x v="314"/>
    <x v="18"/>
    <x v="0"/>
    <n v="1"/>
    <n v="3"/>
    <n v="3"/>
    <n v="1"/>
    <n v="3"/>
  </r>
  <r>
    <x v="330"/>
    <x v="315"/>
    <x v="18"/>
    <x v="0"/>
    <n v="5"/>
    <n v="34"/>
    <n v="6.8"/>
    <n v="0"/>
    <n v="0"/>
  </r>
  <r>
    <x v="331"/>
    <x v="316"/>
    <x v="5"/>
    <x v="1"/>
    <n v="524"/>
    <n v="27933573"/>
    <n v="53308.345419847326"/>
    <n v="6.730252517284488E-4"/>
    <n v="18800"/>
  </r>
  <r>
    <x v="332"/>
    <x v="317"/>
    <x v="0"/>
    <x v="0"/>
    <n v="178"/>
    <n v="48814"/>
    <n v="274.23595505617976"/>
    <n v="1.9871348383660426E-3"/>
    <n v="97"/>
  </r>
  <r>
    <x v="333"/>
    <x v="209"/>
    <x v="3"/>
    <x v="1"/>
    <n v="222"/>
    <n v="669637"/>
    <n v="3016.3828828828828"/>
    <n v="4.3157710819443969E-3"/>
    <n v="2890"/>
  </r>
  <r>
    <x v="334"/>
    <x v="318"/>
    <x v="18"/>
    <x v="0"/>
    <n v="88"/>
    <n v="83012"/>
    <n v="943.31818181818187"/>
    <n v="4.1801185370789768E-3"/>
    <n v="347"/>
  </r>
  <r>
    <x v="335"/>
    <x v="319"/>
    <x v="18"/>
    <x v="0"/>
    <n v="37"/>
    <n v="4351"/>
    <n v="117.5945945945946"/>
    <n v="0.2102964835669961"/>
    <n v="915"/>
  </r>
  <r>
    <x v="336"/>
    <x v="320"/>
    <x v="15"/>
    <x v="0"/>
    <n v="43"/>
    <n v="41860"/>
    <n v="973.48837209302326"/>
    <n v="8.0984233158146197E-3"/>
    <n v="339"/>
  </r>
  <r>
    <x v="337"/>
    <x v="321"/>
    <x v="13"/>
    <x v="1"/>
    <n v="281"/>
    <n v="2691171"/>
    <n v="9577.120996441281"/>
    <n v="2.8872189838549836E-3"/>
    <n v="7770"/>
  </r>
  <r>
    <x v="338"/>
    <x v="322"/>
    <x v="7"/>
    <x v="1"/>
    <n v="32"/>
    <n v="308188"/>
    <n v="9630.875"/>
    <n v="2.1804872350643114E-3"/>
    <n v="672"/>
  </r>
  <r>
    <x v="339"/>
    <x v="323"/>
    <x v="6"/>
    <x v="1"/>
    <n v="63"/>
    <n v="5610676"/>
    <n v="89058.349206349201"/>
    <n v="6.8440950787391748E-4"/>
    <n v="3840"/>
  </r>
  <r>
    <x v="340"/>
    <x v="324"/>
    <x v="15"/>
    <x v="0"/>
    <n v="8"/>
    <n v="273"/>
    <n v="34.125"/>
    <n v="1.4652014652014652E-2"/>
    <n v="4"/>
  </r>
  <r>
    <x v="341"/>
    <x v="325"/>
    <x v="11"/>
    <x v="0"/>
    <n v="395"/>
    <n v="43981"/>
    <n v="111.34430379746836"/>
    <n v="4.820263295513972E-2"/>
    <n v="2120"/>
  </r>
  <r>
    <x v="342"/>
    <x v="326"/>
    <x v="18"/>
    <x v="0"/>
    <n v="43"/>
    <n v="22266"/>
    <n v="517.81395348837214"/>
    <n v="1.4820803018054433E-3"/>
    <n v="33"/>
  </r>
  <r>
    <x v="343"/>
    <x v="327"/>
    <x v="11"/>
    <x v="0"/>
    <n v="1"/>
    <n v="291"/>
    <n v="291"/>
    <n v="0"/>
    <n v="0"/>
  </r>
  <r>
    <x v="344"/>
    <x v="328"/>
    <x v="18"/>
    <x v="0"/>
    <n v="51"/>
    <n v="97172"/>
    <n v="1905.3333333333333"/>
    <n v="2.7374140698966779E-3"/>
    <n v="266"/>
  </r>
  <r>
    <x v="345"/>
    <x v="329"/>
    <x v="1"/>
    <x v="1"/>
    <n v="89"/>
    <n v="745139"/>
    <n v="8372.348314606741"/>
    <n v="3.9455725710236611E-4"/>
    <n v="294"/>
  </r>
  <r>
    <x v="346"/>
    <x v="330"/>
    <x v="18"/>
    <x v="0"/>
    <n v="8"/>
    <n v="1368"/>
    <n v="171"/>
    <n v="0"/>
    <n v="0"/>
  </r>
  <r>
    <x v="347"/>
    <x v="331"/>
    <x v="11"/>
    <x v="0"/>
    <n v="18"/>
    <n v="1039"/>
    <n v="57.722222222222221"/>
    <n v="1.7324350336862367E-2"/>
    <n v="18"/>
  </r>
  <r>
    <x v="348"/>
    <x v="81"/>
    <x v="15"/>
    <x v="0"/>
    <n v="48"/>
    <n v="368923"/>
    <n v="7685.895833333333"/>
    <n v="3.7948298154357415E-3"/>
    <n v="1400"/>
  </r>
  <r>
    <x v="349"/>
    <x v="332"/>
    <x v="11"/>
    <x v="0"/>
    <n v="25"/>
    <n v="32025"/>
    <n v="1281"/>
    <n v="1.5893832943013272E-2"/>
    <n v="509"/>
  </r>
  <r>
    <x v="130"/>
    <x v="333"/>
    <x v="19"/>
    <x v="0"/>
    <n v="11"/>
    <n v="2593"/>
    <n v="235.72727272727272"/>
    <n v="6.5561126108754338E-3"/>
    <n v="17"/>
  </r>
  <r>
    <x v="350"/>
    <x v="334"/>
    <x v="18"/>
    <x v="0"/>
    <n v="6"/>
    <n v="2591"/>
    <n v="431.83333333333331"/>
    <n v="1.3122346584330374E-2"/>
    <n v="34"/>
  </r>
  <r>
    <x v="351"/>
    <x v="335"/>
    <x v="18"/>
    <x v="0"/>
    <n v="2"/>
    <n v="10"/>
    <n v="5"/>
    <n v="0.5"/>
    <n v="5"/>
  </r>
  <r>
    <x v="352"/>
    <x v="336"/>
    <x v="18"/>
    <x v="0"/>
    <n v="97"/>
    <n v="19167"/>
    <n v="197.5979381443299"/>
    <n v="6.3651066937966292E-3"/>
    <n v="122"/>
  </r>
  <r>
    <x v="80"/>
    <x v="337"/>
    <x v="18"/>
    <x v="0"/>
    <n v="1"/>
    <n v="2"/>
    <n v="2"/>
    <n v="0"/>
    <n v="0"/>
  </r>
  <r>
    <x v="353"/>
    <x v="151"/>
    <x v="15"/>
    <x v="0"/>
    <n v="78"/>
    <n v="41372"/>
    <n v="530.41025641025647"/>
    <n v="3.698153340423475E-3"/>
    <n v="153"/>
  </r>
  <r>
    <x v="354"/>
    <x v="338"/>
    <x v="15"/>
    <x v="0"/>
    <n v="8"/>
    <n v="26347"/>
    <n v="3293.375"/>
    <n v="7.4771321213041335E-3"/>
    <n v="197"/>
  </r>
  <r>
    <x v="355"/>
    <x v="339"/>
    <x v="18"/>
    <x v="0"/>
    <n v="8"/>
    <n v="1040"/>
    <n v="130"/>
    <n v="3.1730769230769229E-2"/>
    <n v="33"/>
  </r>
  <r>
    <x v="356"/>
    <x v="340"/>
    <x v="19"/>
    <x v="0"/>
    <n v="14"/>
    <n v="151"/>
    <n v="10.785714285714286"/>
    <n v="1.9867549668874173E-2"/>
    <n v="3"/>
  </r>
  <r>
    <x v="357"/>
    <x v="341"/>
    <x v="18"/>
    <x v="0"/>
    <n v="11"/>
    <n v="760"/>
    <n v="69.090909090909093"/>
    <n v="5.2631578947368418E-2"/>
    <n v="40"/>
  </r>
  <r>
    <x v="358"/>
    <x v="342"/>
    <x v="11"/>
    <x v="0"/>
    <n v="269"/>
    <n v="331679"/>
    <n v="1233.007434944238"/>
    <n v="3.8591529762209849E-3"/>
    <n v="1280"/>
  </r>
  <r>
    <x v="359"/>
    <x v="343"/>
    <x v="6"/>
    <x v="1"/>
    <n v="99"/>
    <n v="36978"/>
    <n v="373.5151515151515"/>
    <n v="5.4086213424198171E-4"/>
    <n v="20"/>
  </r>
  <r>
    <x v="360"/>
    <x v="318"/>
    <x v="18"/>
    <x v="0"/>
    <n v="3"/>
    <n v="1259"/>
    <n v="419.66666666666669"/>
    <n v="1.9857029388403495E-2"/>
    <n v="25"/>
  </r>
  <r>
    <x v="361"/>
    <x v="344"/>
    <x v="19"/>
    <x v="0"/>
    <n v="22"/>
    <n v="4665"/>
    <n v="212.04545454545453"/>
    <n v="5.144694533762058E-3"/>
    <n v="24"/>
  </r>
  <r>
    <x v="362"/>
    <x v="296"/>
    <x v="18"/>
    <x v="0"/>
    <n v="12"/>
    <n v="376"/>
    <n v="31.333333333333332"/>
    <n v="7.9787234042553185E-3"/>
    <n v="3"/>
  </r>
  <r>
    <x v="363"/>
    <x v="345"/>
    <x v="18"/>
    <x v="0"/>
    <n v="5"/>
    <n v="32"/>
    <n v="6.4"/>
    <n v="6.25E-2"/>
    <n v="2"/>
  </r>
  <r>
    <x v="364"/>
    <x v="346"/>
    <x v="15"/>
    <x v="0"/>
    <n v="9"/>
    <n v="2661"/>
    <n v="295.66666666666669"/>
    <n v="7.5159714393085303E-4"/>
    <n v="2"/>
  </r>
  <r>
    <x v="339"/>
    <x v="347"/>
    <x v="18"/>
    <x v="0"/>
    <n v="8"/>
    <n v="50"/>
    <n v="6.25"/>
    <n v="0"/>
    <n v="0"/>
  </r>
  <r>
    <x v="365"/>
    <x v="348"/>
    <x v="11"/>
    <x v="0"/>
    <n v="22"/>
    <n v="3076"/>
    <n v="139.81818181818181"/>
    <n v="6.8920676202860853E-2"/>
    <n v="212"/>
  </r>
  <r>
    <x v="366"/>
    <x v="349"/>
    <x v="18"/>
    <x v="0"/>
    <n v="2"/>
    <n v="2432"/>
    <n v="1216"/>
    <n v="1.6447368421052631E-3"/>
    <n v="4"/>
  </r>
  <r>
    <x v="367"/>
    <x v="350"/>
    <x v="15"/>
    <x v="0"/>
    <n v="4"/>
    <n v="16"/>
    <n v="4"/>
    <n v="0"/>
    <n v="0"/>
  </r>
  <r>
    <x v="368"/>
    <x v="351"/>
    <x v="15"/>
    <x v="0"/>
    <n v="155"/>
    <n v="17698498"/>
    <n v="114183.85806451613"/>
    <n v="2.1414246564877993E-3"/>
    <n v="37900"/>
  </r>
  <r>
    <x v="369"/>
    <x v="352"/>
    <x v="15"/>
    <x v="0"/>
    <n v="10"/>
    <n v="2136"/>
    <n v="213.6"/>
    <n v="2.3408239700374533E-3"/>
    <n v="5"/>
  </r>
  <r>
    <x v="370"/>
    <x v="353"/>
    <x v="18"/>
    <x v="0"/>
    <n v="19"/>
    <n v="23511"/>
    <n v="1237.421052631579"/>
    <n v="2.7221300667772531E-3"/>
    <n v="64"/>
  </r>
  <r>
    <x v="371"/>
    <x v="354"/>
    <x v="18"/>
    <x v="0"/>
    <n v="14"/>
    <n v="7013"/>
    <n v="500.92857142857144"/>
    <n v="2.4240695850563242E-3"/>
    <n v="17"/>
  </r>
  <r>
    <x v="372"/>
    <x v="355"/>
    <x v="1"/>
    <x v="1"/>
    <n v="11"/>
    <n v="318"/>
    <n v="28.90909090909091"/>
    <n v="9.433962264150943E-3"/>
    <n v="3"/>
  </r>
  <r>
    <x v="373"/>
    <x v="356"/>
    <x v="5"/>
    <x v="1"/>
    <n v="217"/>
    <n v="253431"/>
    <n v="1167.8847926267281"/>
    <n v="1.2074292410952094E-3"/>
    <n v="306"/>
  </r>
  <r>
    <x v="374"/>
    <x v="357"/>
    <x v="0"/>
    <x v="0"/>
    <n v="4"/>
    <n v="265"/>
    <n v="66.25"/>
    <n v="7.5471698113207548E-3"/>
    <n v="2"/>
  </r>
  <r>
    <x v="375"/>
    <x v="358"/>
    <x v="6"/>
    <x v="1"/>
    <n v="1"/>
    <n v="16"/>
    <n v="16"/>
    <n v="0"/>
    <n v="0"/>
  </r>
  <r>
    <x v="376"/>
    <x v="359"/>
    <x v="19"/>
    <x v="0"/>
    <n v="10"/>
    <n v="378"/>
    <n v="37.799999999999997"/>
    <n v="2.6455026455026454E-3"/>
    <n v="1"/>
  </r>
  <r>
    <x v="339"/>
    <x v="360"/>
    <x v="1"/>
    <x v="1"/>
    <n v="8"/>
    <n v="537"/>
    <n v="67.125"/>
    <n v="0.37243947858472998"/>
    <n v="200"/>
  </r>
  <r>
    <x v="377"/>
    <x v="361"/>
    <x v="15"/>
    <x v="0"/>
    <n v="7"/>
    <n v="3440"/>
    <n v="491.42857142857144"/>
    <n v="7.5581395348837208E-3"/>
    <n v="26"/>
  </r>
  <r>
    <x v="369"/>
    <x v="352"/>
    <x v="15"/>
    <x v="0"/>
    <n v="10"/>
    <n v="2136"/>
    <n v="213.6"/>
    <n v="2.3408239700374533E-3"/>
    <n v="5"/>
  </r>
  <r>
    <x v="378"/>
    <x v="362"/>
    <x v="18"/>
    <x v="0"/>
    <n v="26"/>
    <n v="213831"/>
    <n v="8224.2692307692305"/>
    <n v="3.0584901160262078E-3"/>
    <n v="654"/>
  </r>
  <r>
    <x v="379"/>
    <x v="363"/>
    <x v="3"/>
    <x v="1"/>
    <n v="22"/>
    <n v="8127"/>
    <n v="369.40909090909093"/>
    <n v="4.8357327427094872E-2"/>
    <n v="393"/>
  </r>
  <r>
    <x v="380"/>
    <x v="364"/>
    <x v="19"/>
    <x v="0"/>
    <n v="8"/>
    <n v="46"/>
    <n v="5.75"/>
    <n v="0.15217391304347827"/>
    <n v="7"/>
  </r>
  <r>
    <x v="370"/>
    <x v="353"/>
    <x v="18"/>
    <x v="0"/>
    <n v="19"/>
    <n v="23511"/>
    <n v="1237.421052631579"/>
    <n v="2.7221300667772531E-3"/>
    <n v="64"/>
  </r>
  <r>
    <x v="371"/>
    <x v="354"/>
    <x v="18"/>
    <x v="0"/>
    <n v="14"/>
    <n v="7013"/>
    <n v="500.92857142857144"/>
    <n v="2.4240695850563242E-3"/>
    <n v="17"/>
  </r>
  <r>
    <x v="372"/>
    <x v="355"/>
    <x v="1"/>
    <x v="1"/>
    <n v="11"/>
    <n v="318"/>
    <n v="28.90909090909091"/>
    <n v="9.433962264150943E-3"/>
    <n v="3"/>
  </r>
  <r>
    <x v="381"/>
    <x v="159"/>
    <x v="0"/>
    <x v="0"/>
    <n v="2"/>
    <n v="682"/>
    <n v="341"/>
    <n v="8.7976539589442824E-3"/>
    <n v="6"/>
  </r>
  <r>
    <x v="373"/>
    <x v="356"/>
    <x v="5"/>
    <x v="1"/>
    <n v="217"/>
    <n v="253431"/>
    <n v="1167.8847926267281"/>
    <n v="1.2074292410952094E-3"/>
    <n v="306"/>
  </r>
  <r>
    <x v="374"/>
    <x v="357"/>
    <x v="0"/>
    <x v="0"/>
    <n v="4"/>
    <n v="265"/>
    <n v="66.25"/>
    <n v="7.5471698113207548E-3"/>
    <n v="2"/>
  </r>
  <r>
    <x v="375"/>
    <x v="358"/>
    <x v="6"/>
    <x v="1"/>
    <n v="1"/>
    <n v="16"/>
    <n v="16"/>
    <n v="0"/>
    <n v="0"/>
  </r>
  <r>
    <x v="376"/>
    <x v="359"/>
    <x v="19"/>
    <x v="0"/>
    <n v="10"/>
    <n v="378"/>
    <n v="37.799999999999997"/>
    <n v="2.6455026455026454E-3"/>
    <n v="1"/>
  </r>
  <r>
    <x v="339"/>
    <x v="360"/>
    <x v="1"/>
    <x v="1"/>
    <n v="8"/>
    <n v="537"/>
    <n v="67.125"/>
    <n v="0.37243947858472998"/>
    <n v="200"/>
  </r>
  <r>
    <x v="382"/>
    <x v="365"/>
    <x v="4"/>
    <x v="1"/>
    <n v="25"/>
    <n v="115144"/>
    <n v="4605.76"/>
    <n v="1.8064336830403668E-3"/>
    <n v="208"/>
  </r>
  <r>
    <x v="383"/>
    <x v="366"/>
    <x v="3"/>
    <x v="1"/>
    <n v="13"/>
    <n v="7238"/>
    <n v="556.76923076923072"/>
    <n v="1.2434374136501797E-3"/>
    <n v="9"/>
  </r>
  <r>
    <x v="384"/>
    <x v="367"/>
    <x v="18"/>
    <x v="0"/>
    <n v="4"/>
    <n v="880"/>
    <n v="220"/>
    <n v="1.4772727272727272E-2"/>
    <n v="13"/>
  </r>
  <r>
    <x v="385"/>
    <x v="368"/>
    <x v="6"/>
    <x v="1"/>
    <n v="12"/>
    <n v="165"/>
    <n v="13.75"/>
    <n v="2.4242424242424242E-2"/>
    <n v="4"/>
  </r>
  <r>
    <x v="386"/>
    <x v="300"/>
    <x v="2"/>
    <x v="1"/>
    <n v="6"/>
    <n v="534"/>
    <n v="89"/>
    <n v="1.1235955056179775E-2"/>
    <n v="6"/>
  </r>
  <r>
    <x v="387"/>
    <x v="268"/>
    <x v="19"/>
    <x v="0"/>
    <n v="3"/>
    <n v="138"/>
    <n v="46"/>
    <n v="3.6231884057971016E-2"/>
    <n v="5"/>
  </r>
  <r>
    <x v="388"/>
    <x v="369"/>
    <x v="19"/>
    <x v="0"/>
    <n v="8"/>
    <n v="18286"/>
    <n v="2285.75"/>
    <n v="3.9921251230449527E-3"/>
    <n v="73"/>
  </r>
  <r>
    <x v="389"/>
    <x v="270"/>
    <x v="15"/>
    <x v="0"/>
    <n v="27"/>
    <n v="4473"/>
    <n v="165.66666666666666"/>
    <n v="2.526268723451822E-2"/>
    <n v="113"/>
  </r>
  <r>
    <x v="381"/>
    <x v="370"/>
    <x v="18"/>
    <x v="0"/>
    <n v="7"/>
    <n v="296"/>
    <n v="42.285714285714285"/>
    <n v="2.0270270270270271E-2"/>
    <n v="6"/>
  </r>
  <r>
    <x v="339"/>
    <x v="371"/>
    <x v="15"/>
    <x v="0"/>
    <n v="23"/>
    <n v="1726"/>
    <n v="75.043478260869563"/>
    <n v="4.6349942062572421E-3"/>
    <n v="8"/>
  </r>
  <r>
    <x v="390"/>
    <x v="372"/>
    <x v="5"/>
    <x v="1"/>
    <n v="49"/>
    <n v="24217"/>
    <n v="494.22448979591837"/>
    <n v="6.1114093405458978E-3"/>
    <n v="148"/>
  </r>
  <r>
    <x v="391"/>
    <x v="373"/>
    <x v="7"/>
    <x v="1"/>
    <n v="2"/>
    <n v="57"/>
    <n v="28.5"/>
    <n v="1.7543859649122806E-2"/>
    <n v="1"/>
  </r>
  <r>
    <x v="339"/>
    <x v="374"/>
    <x v="7"/>
    <x v="1"/>
    <n v="36"/>
    <n v="7000"/>
    <n v="194.44444444444446"/>
    <n v="6.4285714285714285E-3"/>
    <n v="45"/>
  </r>
  <r>
    <x v="392"/>
    <x v="375"/>
    <x v="11"/>
    <x v="0"/>
    <n v="43"/>
    <n v="21700"/>
    <n v="504.6511627906977"/>
    <n v="2.8571428571428571E-3"/>
    <n v="62"/>
  </r>
  <r>
    <x v="393"/>
    <x v="376"/>
    <x v="1"/>
    <x v="1"/>
    <n v="11"/>
    <n v="805"/>
    <n v="73.181818181818187"/>
    <n v="4.5962732919254658E-2"/>
    <n v="37"/>
  </r>
  <r>
    <x v="394"/>
    <x v="326"/>
    <x v="18"/>
    <x v="0"/>
    <n v="3"/>
    <n v="318"/>
    <n v="106"/>
    <n v="3.1446540880503145E-2"/>
    <n v="10"/>
  </r>
  <r>
    <x v="395"/>
    <x v="377"/>
    <x v="18"/>
    <x v="0"/>
    <n v="1"/>
    <n v="3"/>
    <n v="3"/>
    <n v="0"/>
    <n v="0"/>
  </r>
  <r>
    <x v="396"/>
    <x v="378"/>
    <x v="6"/>
    <x v="1"/>
    <n v="9"/>
    <n v="64174"/>
    <n v="7130.4444444444443"/>
    <n v="5.2513478979025778E-3"/>
    <n v="337"/>
  </r>
  <r>
    <x v="397"/>
    <x v="379"/>
    <x v="18"/>
    <x v="0"/>
    <n v="2"/>
    <n v="1"/>
    <n v="0.5"/>
    <n v="0"/>
    <n v="0"/>
  </r>
  <r>
    <x v="398"/>
    <x v="380"/>
    <x v="11"/>
    <x v="0"/>
    <n v="4"/>
    <n v="199"/>
    <n v="49.75"/>
    <n v="2.5075376884422109"/>
    <n v="499"/>
  </r>
  <r>
    <x v="323"/>
    <x v="381"/>
    <x v="18"/>
    <x v="0"/>
    <n v="15"/>
    <n v="25"/>
    <n v="1.6666666666666667"/>
    <n v="0.04"/>
    <n v="1"/>
  </r>
  <r>
    <x v="399"/>
    <x v="382"/>
    <x v="15"/>
    <x v="0"/>
    <n v="1"/>
    <n v="315"/>
    <n v="315"/>
    <n v="0"/>
    <n v="0"/>
  </r>
  <r>
    <x v="400"/>
    <x v="383"/>
    <x v="18"/>
    <x v="0"/>
    <n v="5"/>
    <n v="36"/>
    <n v="7.2"/>
    <n v="0.1111111111111111"/>
    <n v="4"/>
  </r>
  <r>
    <x v="401"/>
    <x v="384"/>
    <x v="4"/>
    <x v="1"/>
    <n v="18"/>
    <n v="59324"/>
    <n v="3295.7777777777778"/>
    <n v="5.2423976805340165E-3"/>
    <n v="311"/>
  </r>
  <r>
    <x v="402"/>
    <x v="385"/>
    <x v="18"/>
    <x v="0"/>
    <n v="2"/>
    <n v="48"/>
    <n v="24"/>
    <n v="0"/>
    <n v="0"/>
  </r>
  <r>
    <x v="403"/>
    <x v="386"/>
    <x v="18"/>
    <x v="0"/>
    <n v="207"/>
    <n v="193218"/>
    <n v="933.4202898550725"/>
    <n v="4.3163680402446974E-3"/>
    <n v="834"/>
  </r>
  <r>
    <x v="404"/>
    <x v="387"/>
    <x v="11"/>
    <x v="0"/>
    <n v="5"/>
    <n v="1107"/>
    <n v="221.4"/>
    <n v="1.2646793134598013E-2"/>
    <n v="14"/>
  </r>
  <r>
    <x v="405"/>
    <x v="167"/>
    <x v="11"/>
    <x v="0"/>
    <n v="5"/>
    <n v="1251"/>
    <n v="250.2"/>
    <n v="3.1974420463629096E-3"/>
    <n v="4"/>
  </r>
  <r>
    <x v="406"/>
    <x v="388"/>
    <x v="15"/>
    <x v="0"/>
    <n v="25"/>
    <n v="191721"/>
    <n v="7668.84"/>
    <n v="1.6586602406622123E-3"/>
    <n v="318"/>
  </r>
  <r>
    <x v="407"/>
    <x v="389"/>
    <x v="18"/>
    <x v="0"/>
    <n v="2"/>
    <n v="17"/>
    <n v="8.5"/>
    <n v="0.11764705882352941"/>
    <n v="2"/>
  </r>
  <r>
    <x v="387"/>
    <x v="390"/>
    <x v="15"/>
    <x v="0"/>
    <n v="1"/>
    <n v="17"/>
    <n v="17"/>
    <n v="5.8823529411764705E-2"/>
    <n v="1"/>
  </r>
  <r>
    <x v="408"/>
    <x v="391"/>
    <x v="0"/>
    <x v="0"/>
    <n v="15"/>
    <n v="11508"/>
    <n v="767.2"/>
    <n v="9.9061522419186657E-2"/>
    <n v="1140"/>
  </r>
  <r>
    <x v="409"/>
    <x v="81"/>
    <x v="15"/>
    <x v="0"/>
    <n v="3"/>
    <n v="40"/>
    <n v="13.333333333333334"/>
    <n v="7.4999999999999997E-2"/>
    <n v="3"/>
  </r>
  <r>
    <x v="410"/>
    <x v="392"/>
    <x v="18"/>
    <x v="0"/>
    <n v="30"/>
    <n v="543"/>
    <n v="18.100000000000001"/>
    <n v="4.9723756906077346E-2"/>
    <n v="27"/>
  </r>
  <r>
    <x v="411"/>
    <x v="393"/>
    <x v="11"/>
    <x v="0"/>
    <n v="144"/>
    <n v="77939"/>
    <n v="541.24305555555554"/>
    <n v="1.070067616982512E-2"/>
    <n v="834"/>
  </r>
  <r>
    <x v="412"/>
    <x v="394"/>
    <x v="6"/>
    <x v="1"/>
    <n v="4"/>
    <n v="125141"/>
    <n v="31285.25"/>
    <n v="1.8539087908838829E-3"/>
    <n v="232"/>
  </r>
  <r>
    <x v="413"/>
    <x v="395"/>
    <x v="18"/>
    <x v="0"/>
    <n v="6"/>
    <n v="89"/>
    <n v="14.833333333333334"/>
    <n v="5.6179775280898875E-2"/>
    <n v="5"/>
  </r>
  <r>
    <x v="414"/>
    <x v="396"/>
    <x v="19"/>
    <x v="0"/>
    <n v="3"/>
    <n v="5"/>
    <n v="1.6666666666666667"/>
    <n v="0.4"/>
    <n v="2"/>
  </r>
  <r>
    <x v="415"/>
    <x v="397"/>
    <x v="15"/>
    <x v="0"/>
    <n v="2"/>
    <n v="7"/>
    <n v="3.5"/>
    <n v="0.2857142857142857"/>
    <n v="2"/>
  </r>
  <r>
    <x v="416"/>
    <x v="398"/>
    <x v="15"/>
    <x v="0"/>
    <n v="3"/>
    <n v="5"/>
    <n v="1.6666666666666667"/>
    <n v="3.4"/>
    <n v="17"/>
  </r>
  <r>
    <x v="417"/>
    <x v="399"/>
    <x v="1"/>
    <x v="1"/>
    <n v="44"/>
    <n v="16278"/>
    <n v="369.95454545454544"/>
    <n v="1.4129499938567392E-3"/>
    <n v="23"/>
  </r>
  <r>
    <x v="418"/>
    <x v="400"/>
    <x v="19"/>
    <x v="0"/>
    <n v="8"/>
    <n v="189"/>
    <n v="23.625"/>
    <n v="0"/>
    <n v="0"/>
  </r>
  <r>
    <x v="419"/>
    <x v="401"/>
    <x v="15"/>
    <x v="0"/>
    <n v="119"/>
    <n v="64542"/>
    <n v="542.36974789915962"/>
    <n v="1.0520281367171765E-2"/>
    <n v="679"/>
  </r>
  <r>
    <x v="420"/>
    <x v="212"/>
    <x v="16"/>
    <x v="2"/>
    <n v="10"/>
    <n v="507"/>
    <n v="50.7"/>
    <n v="1.9723865877712032E-2"/>
    <n v="10"/>
  </r>
  <r>
    <x v="421"/>
    <x v="402"/>
    <x v="7"/>
    <x v="1"/>
    <n v="19"/>
    <n v="2846"/>
    <n v="149.78947368421052"/>
    <n v="4.567814476458187E-3"/>
    <n v="13"/>
  </r>
  <r>
    <x v="422"/>
    <x v="403"/>
    <x v="0"/>
    <x v="0"/>
    <n v="7"/>
    <n v="242"/>
    <n v="34.571428571428569"/>
    <n v="0.35537190082644626"/>
    <n v="86"/>
  </r>
  <r>
    <x v="423"/>
    <x v="404"/>
    <x v="1"/>
    <x v="1"/>
    <n v="186"/>
    <n v="348588"/>
    <n v="1874.1290322580646"/>
    <n v="3.95882818685669E-3"/>
    <n v="1380"/>
  </r>
  <r>
    <x v="424"/>
    <x v="405"/>
    <x v="18"/>
    <x v="0"/>
    <n v="12"/>
    <n v="5253"/>
    <n v="437.75"/>
    <n v="5.5206548638873027E-3"/>
    <n v="29"/>
  </r>
  <r>
    <x v="391"/>
    <x v="406"/>
    <x v="18"/>
    <x v="0"/>
    <n v="5"/>
    <n v="2942"/>
    <n v="588.4"/>
    <n v="1.3596193065941536E-3"/>
    <n v="4"/>
  </r>
  <r>
    <x v="425"/>
    <x v="407"/>
    <x v="18"/>
    <x v="0"/>
    <n v="75"/>
    <n v="81046"/>
    <n v="1080.6133333333332"/>
    <n v="7.1811070256397602E-3"/>
    <n v="582"/>
  </r>
  <r>
    <x v="426"/>
    <x v="408"/>
    <x v="18"/>
    <x v="0"/>
    <n v="68"/>
    <n v="11820"/>
    <n v="173.8235294117647"/>
    <n v="1.1590524534686971E-2"/>
    <n v="137"/>
  </r>
  <r>
    <x v="427"/>
    <x v="409"/>
    <x v="18"/>
    <x v="0"/>
    <n v="6"/>
    <n v="234"/>
    <n v="39"/>
    <n v="1.282051282051282E-2"/>
    <n v="3"/>
  </r>
  <r>
    <x v="428"/>
    <x v="410"/>
    <x v="11"/>
    <x v="0"/>
    <n v="18"/>
    <n v="30683"/>
    <n v="1704.6111111111111"/>
    <n v="3.0309943616986606E-3"/>
    <n v="93"/>
  </r>
  <r>
    <x v="429"/>
    <x v="411"/>
    <x v="18"/>
    <x v="0"/>
    <n v="5"/>
    <n v="48"/>
    <n v="9.6"/>
    <n v="0.14583333333333334"/>
    <n v="7"/>
  </r>
  <r>
    <x v="430"/>
    <x v="412"/>
    <x v="11"/>
    <x v="0"/>
    <n v="12"/>
    <n v="1965"/>
    <n v="163.75"/>
    <n v="5.5979643765903305E-3"/>
    <n v="11"/>
  </r>
  <r>
    <x v="431"/>
    <x v="413"/>
    <x v="18"/>
    <x v="0"/>
    <n v="4"/>
    <n v="2598"/>
    <n v="649.5"/>
    <n v="4.2340261739799842E-3"/>
    <n v="11"/>
  </r>
  <r>
    <x v="432"/>
    <x v="414"/>
    <x v="18"/>
    <x v="0"/>
    <n v="93"/>
    <n v="65392"/>
    <n v="703.13978494623655"/>
    <n v="2.6914607291411794E-3"/>
    <n v="176"/>
  </r>
  <r>
    <x v="433"/>
    <x v="415"/>
    <x v="18"/>
    <x v="0"/>
    <n v="42"/>
    <n v="45279"/>
    <n v="1078.0714285714287"/>
    <n v="2.7606616753903575E-3"/>
    <n v="125"/>
  </r>
  <r>
    <x v="434"/>
    <x v="416"/>
    <x v="18"/>
    <x v="0"/>
    <n v="41"/>
    <n v="1817"/>
    <n v="44.31707317073171"/>
    <n v="3.1920748486516236E-2"/>
    <n v="58"/>
  </r>
  <r>
    <x v="435"/>
    <x v="417"/>
    <x v="18"/>
    <x v="0"/>
    <n v="26"/>
    <n v="21082"/>
    <n v="810.84615384615381"/>
    <n v="4.8856844701641207E-3"/>
    <n v="103"/>
  </r>
  <r>
    <x v="340"/>
    <x v="418"/>
    <x v="18"/>
    <x v="0"/>
    <n v="1"/>
    <n v="1"/>
    <n v="1"/>
    <n v="0"/>
    <n v="0"/>
  </r>
  <r>
    <x v="436"/>
    <x v="275"/>
    <x v="19"/>
    <x v="0"/>
    <n v="6"/>
    <n v="24"/>
    <n v="4"/>
    <n v="4.1666666666666664E-2"/>
    <n v="1"/>
  </r>
  <r>
    <x v="437"/>
    <x v="419"/>
    <x v="5"/>
    <x v="1"/>
    <n v="23"/>
    <n v="5729"/>
    <n v="249.08695652173913"/>
    <n v="9.2511782160935585E-3"/>
    <n v="53"/>
  </r>
  <r>
    <x v="438"/>
    <x v="420"/>
    <x v="15"/>
    <x v="0"/>
    <n v="8"/>
    <n v="844"/>
    <n v="105.5"/>
    <n v="2.4881516587677725E-2"/>
    <n v="21"/>
  </r>
  <r>
    <x v="439"/>
    <x v="45"/>
    <x v="5"/>
    <x v="1"/>
    <n v="33"/>
    <n v="15242"/>
    <n v="461.87878787878788"/>
    <n v="3.083584831386957E-3"/>
    <n v="47"/>
  </r>
  <r>
    <x v="440"/>
    <x v="157"/>
    <x v="11"/>
    <x v="0"/>
    <n v="3"/>
    <n v="68"/>
    <n v="22.666666666666668"/>
    <n v="2.9411764705882353E-2"/>
    <n v="2"/>
  </r>
  <r>
    <x v="441"/>
    <x v="421"/>
    <x v="6"/>
    <x v="1"/>
    <n v="24"/>
    <n v="4829"/>
    <n v="201.20833333333334"/>
    <n v="6.6266307724166494E-3"/>
    <n v="32"/>
  </r>
  <r>
    <x v="442"/>
    <x v="422"/>
    <x v="18"/>
    <x v="0"/>
    <n v="10"/>
    <n v="1516"/>
    <n v="151.6"/>
    <n v="1.3852242744063324E-2"/>
    <n v="21"/>
  </r>
  <r>
    <x v="443"/>
    <x v="423"/>
    <x v="15"/>
    <x v="0"/>
    <n v="3"/>
    <n v="11"/>
    <n v="3.6666666666666665"/>
    <n v="0"/>
    <n v="0"/>
  </r>
  <r>
    <x v="444"/>
    <x v="424"/>
    <x v="15"/>
    <x v="0"/>
    <n v="11"/>
    <n v="101738"/>
    <n v="9248.9090909090901"/>
    <n v="4.9440720281507403E-3"/>
    <n v="503"/>
  </r>
  <r>
    <x v="445"/>
    <x v="425"/>
    <x v="0"/>
    <x v="0"/>
    <n v="10"/>
    <n v="406"/>
    <n v="40.6"/>
    <n v="0"/>
    <n v="0"/>
  </r>
  <r>
    <x v="446"/>
    <x v="426"/>
    <x v="0"/>
    <x v="0"/>
    <n v="60"/>
    <n v="14275"/>
    <n v="237.91666666666666"/>
    <n v="1.0577933450087566E-2"/>
    <n v="151"/>
  </r>
  <r>
    <x v="447"/>
    <x v="427"/>
    <x v="0"/>
    <x v="0"/>
    <n v="858"/>
    <n v="758633"/>
    <n v="884.18764568764573"/>
    <n v="1.0637554654226748E-3"/>
    <n v="807"/>
  </r>
  <r>
    <x v="448"/>
    <x v="428"/>
    <x v="1"/>
    <x v="1"/>
    <n v="4"/>
    <n v="683"/>
    <n v="170.75"/>
    <n v="3.074670571010249E-2"/>
    <n v="21"/>
  </r>
  <r>
    <x v="449"/>
    <x v="429"/>
    <x v="18"/>
    <x v="0"/>
    <n v="1"/>
    <n v="1"/>
    <n v="1"/>
    <n v="0"/>
    <n v="0"/>
  </r>
  <r>
    <x v="450"/>
    <x v="430"/>
    <x v="11"/>
    <x v="0"/>
    <n v="58"/>
    <n v="68570"/>
    <n v="1182.2413793103449"/>
    <n v="1.4437800787516406E-3"/>
    <n v="99"/>
  </r>
  <r>
    <x v="447"/>
    <x v="427"/>
    <x v="0"/>
    <x v="0"/>
    <n v="858"/>
    <n v="758633"/>
    <n v="884.18764568764573"/>
    <n v="1.0637554654226748E-3"/>
    <n v="807"/>
  </r>
  <r>
    <x v="448"/>
    <x v="428"/>
    <x v="1"/>
    <x v="1"/>
    <n v="4"/>
    <n v="683"/>
    <n v="170.75"/>
    <n v="3.074670571010249E-2"/>
    <n v="21"/>
  </r>
  <r>
    <x v="449"/>
    <x v="429"/>
    <x v="18"/>
    <x v="0"/>
    <n v="1"/>
    <n v="1"/>
    <n v="1"/>
    <n v="0"/>
    <n v="0"/>
  </r>
  <r>
    <x v="450"/>
    <x v="430"/>
    <x v="11"/>
    <x v="0"/>
    <n v="58"/>
    <n v="68570"/>
    <n v="1182.2413793103449"/>
    <n v="1.4437800787516406E-3"/>
    <n v="99"/>
  </r>
  <r>
    <x v="80"/>
    <x v="431"/>
    <x v="15"/>
    <x v="0"/>
    <n v="2"/>
    <n v="1235"/>
    <n v="617.5"/>
    <n v="4.8582995951417006E-3"/>
    <n v="6"/>
  </r>
  <r>
    <x v="451"/>
    <x v="432"/>
    <x v="7"/>
    <x v="1"/>
    <n v="12"/>
    <n v="13702"/>
    <n v="1141.8333333333333"/>
    <n v="1.9048314114727776E-2"/>
    <n v="261"/>
  </r>
  <r>
    <x v="452"/>
    <x v="433"/>
    <x v="19"/>
    <x v="0"/>
    <n v="3"/>
    <n v="62"/>
    <n v="20.666666666666668"/>
    <n v="0"/>
    <n v="0"/>
  </r>
  <r>
    <x v="453"/>
    <x v="434"/>
    <x v="6"/>
    <x v="1"/>
    <n v="11"/>
    <n v="340"/>
    <n v="30.90909090909091"/>
    <n v="2.9411764705882353E-3"/>
    <n v="1"/>
  </r>
  <r>
    <x v="454"/>
    <x v="435"/>
    <x v="18"/>
    <x v="0"/>
    <n v="2"/>
    <n v="192"/>
    <n v="96"/>
    <n v="5.208333333333333E-3"/>
    <n v="1"/>
  </r>
  <r>
    <x v="455"/>
    <x v="436"/>
    <x v="11"/>
    <x v="0"/>
    <n v="5"/>
    <n v="2565"/>
    <n v="513"/>
    <n v="4.2884990253411305E-3"/>
    <n v="11"/>
  </r>
  <r>
    <x v="456"/>
    <x v="437"/>
    <x v="18"/>
    <x v="0"/>
    <n v="1"/>
    <n v="2"/>
    <n v="2"/>
    <n v="0"/>
    <n v="0"/>
  </r>
  <r>
    <x v="457"/>
    <x v="438"/>
    <x v="18"/>
    <x v="0"/>
    <n v="1"/>
    <n v="85"/>
    <n v="85"/>
    <n v="0"/>
    <n v="0"/>
  </r>
  <r>
    <x v="458"/>
    <x v="439"/>
    <x v="0"/>
    <x v="0"/>
    <n v="2"/>
    <n v="146"/>
    <n v="73"/>
    <n v="4.1095890410958902E-2"/>
    <n v="6"/>
  </r>
  <r>
    <x v="459"/>
    <x v="440"/>
    <x v="18"/>
    <x v="0"/>
    <n v="1"/>
    <n v="3"/>
    <n v="3"/>
    <n v="0.66666666666666663"/>
    <n v="2"/>
  </r>
  <r>
    <x v="460"/>
    <x v="441"/>
    <x v="18"/>
    <x v="0"/>
    <n v="6"/>
    <n v="39553"/>
    <n v="6592.166666666667"/>
    <n v="6.5734583975931031E-4"/>
    <n v="26"/>
  </r>
  <r>
    <x v="461"/>
    <x v="280"/>
    <x v="11"/>
    <x v="0"/>
    <n v="4"/>
    <n v="488"/>
    <n v="122"/>
    <n v="4.7131147540983603E-2"/>
    <n v="23"/>
  </r>
  <r>
    <x v="462"/>
    <x v="442"/>
    <x v="18"/>
    <x v="0"/>
    <n v="8"/>
    <n v="347"/>
    <n v="43.375"/>
    <n v="0.58789625360230546"/>
    <n v="204"/>
  </r>
  <r>
    <x v="463"/>
    <x v="443"/>
    <x v="15"/>
    <x v="0"/>
    <n v="9"/>
    <n v="410"/>
    <n v="45.555555555555557"/>
    <n v="7.3170731707317077E-3"/>
    <n v="3"/>
  </r>
  <r>
    <x v="464"/>
    <x v="444"/>
    <x v="15"/>
    <x v="0"/>
    <n v="4"/>
    <n v="47"/>
    <n v="11.75"/>
    <n v="0.1702127659574468"/>
    <n v="8"/>
  </r>
  <r>
    <x v="465"/>
    <x v="445"/>
    <x v="18"/>
    <x v="0"/>
    <n v="4"/>
    <n v="232"/>
    <n v="58"/>
    <n v="3.8793103448275863E-2"/>
    <n v="9"/>
  </r>
  <r>
    <x v="466"/>
    <x v="446"/>
    <x v="18"/>
    <x v="0"/>
    <n v="18"/>
    <n v="1075"/>
    <n v="59.722222222222221"/>
    <n v="2.3255813953488372E-2"/>
    <n v="25"/>
  </r>
  <r>
    <x v="467"/>
    <x v="379"/>
    <x v="18"/>
    <x v="0"/>
    <n v="2"/>
    <n v="85"/>
    <n v="42.5"/>
    <n v="0"/>
    <n v="0"/>
  </r>
  <r>
    <x v="468"/>
    <x v="447"/>
    <x v="11"/>
    <x v="0"/>
    <n v="3"/>
    <n v="36637"/>
    <n v="12212.333333333334"/>
    <n v="8.1611485656576683E-3"/>
    <n v="299"/>
  </r>
  <r>
    <x v="469"/>
    <x v="448"/>
    <x v="18"/>
    <x v="0"/>
    <n v="2"/>
    <n v="1361"/>
    <n v="680.5"/>
    <n v="2.9390154298310064E-3"/>
    <n v="4"/>
  </r>
  <r>
    <x v="470"/>
    <x v="449"/>
    <x v="18"/>
    <x v="0"/>
    <n v="8"/>
    <n v="95"/>
    <n v="11.875"/>
    <n v="0.17894736842105263"/>
    <n v="17"/>
  </r>
  <r>
    <x v="471"/>
    <x v="450"/>
    <x v="18"/>
    <x v="0"/>
    <n v="16"/>
    <n v="411"/>
    <n v="25.6875"/>
    <n v="4.8661800486618006E-3"/>
    <n v="2"/>
  </r>
  <r>
    <x v="141"/>
    <x v="451"/>
    <x v="18"/>
    <x v="0"/>
    <n v="10"/>
    <n v="416"/>
    <n v="41.6"/>
    <n v="4.807692307692308E-3"/>
    <n v="2"/>
  </r>
  <r>
    <x v="472"/>
    <x v="452"/>
    <x v="18"/>
    <x v="0"/>
    <n v="4"/>
    <n v="8"/>
    <n v="2"/>
    <n v="0"/>
    <n v="0"/>
  </r>
  <r>
    <x v="473"/>
    <x v="453"/>
    <x v="18"/>
    <x v="0"/>
    <n v="3"/>
    <n v="3266"/>
    <n v="1088.6666666666667"/>
    <n v="5.2051439069197795E-3"/>
    <n v="17"/>
  </r>
  <r>
    <x v="474"/>
    <x v="247"/>
    <x v="18"/>
    <x v="0"/>
    <n v="5"/>
    <n v="96"/>
    <n v="19.2"/>
    <n v="0.23958333333333334"/>
    <n v="23"/>
  </r>
  <r>
    <x v="475"/>
    <x v="454"/>
    <x v="18"/>
    <x v="0"/>
    <n v="2"/>
    <n v="30"/>
    <n v="15"/>
    <n v="3.3333333333333333E-2"/>
    <n v="1"/>
  </r>
  <r>
    <x v="476"/>
    <x v="455"/>
    <x v="18"/>
    <x v="0"/>
    <n v="3"/>
    <n v="336"/>
    <n v="112"/>
    <n v="2.976190476190476E-3"/>
    <n v="1"/>
  </r>
  <r>
    <x v="477"/>
    <x v="456"/>
    <x v="18"/>
    <x v="0"/>
    <n v="10"/>
    <n v="149"/>
    <n v="14.9"/>
    <n v="7.3825503355704702E-2"/>
    <n v="11"/>
  </r>
  <r>
    <x v="478"/>
    <x v="457"/>
    <x v="0"/>
    <x v="0"/>
    <n v="4"/>
    <n v="272"/>
    <n v="68"/>
    <n v="0.15073529411764705"/>
    <n v="41"/>
  </r>
  <r>
    <x v="479"/>
    <x v="458"/>
    <x v="18"/>
    <x v="0"/>
    <n v="75"/>
    <n v="8793"/>
    <n v="117.24"/>
    <n v="3.4118048447628795E-3"/>
    <n v="30"/>
  </r>
  <r>
    <x v="480"/>
    <x v="459"/>
    <x v="0"/>
    <x v="0"/>
    <n v="7"/>
    <n v="242741"/>
    <n v="34677.285714285717"/>
    <n v="2.4223349166395459E-3"/>
    <n v="588"/>
  </r>
  <r>
    <x v="481"/>
    <x v="460"/>
    <x v="18"/>
    <x v="0"/>
    <n v="38"/>
    <n v="15831"/>
    <n v="416.60526315789474"/>
    <n v="4.7375402690922877E-3"/>
    <n v="75"/>
  </r>
  <r>
    <x v="297"/>
    <x v="461"/>
    <x v="15"/>
    <x v="0"/>
    <n v="35"/>
    <n v="2240"/>
    <n v="64"/>
    <n v="3.1250000000000002E-3"/>
    <n v="7"/>
  </r>
  <r>
    <x v="482"/>
    <x v="462"/>
    <x v="18"/>
    <x v="0"/>
    <n v="1"/>
    <n v="111"/>
    <n v="111"/>
    <n v="1.8018018018018018E-2"/>
    <n v="2"/>
  </r>
  <r>
    <x v="483"/>
    <x v="463"/>
    <x v="19"/>
    <x v="0"/>
    <n v="1"/>
    <n v="74"/>
    <n v="74"/>
    <n v="9.45945945945946E-2"/>
    <n v="7"/>
  </r>
  <r>
    <x v="141"/>
    <x v="400"/>
    <x v="19"/>
    <x v="0"/>
    <n v="3"/>
    <n v="26"/>
    <n v="8.6666666666666661"/>
    <n v="0.15384615384615385"/>
    <n v="4"/>
  </r>
  <r>
    <x v="484"/>
    <x v="464"/>
    <x v="18"/>
    <x v="0"/>
    <n v="1"/>
    <n v="8"/>
    <n v="8"/>
    <n v="0.125"/>
    <n v="1"/>
  </r>
  <r>
    <x v="485"/>
    <x v="465"/>
    <x v="6"/>
    <x v="1"/>
    <n v="28"/>
    <n v="360400"/>
    <n v="12871.428571428571"/>
    <n v="1.6870144284128745E-3"/>
    <n v="608"/>
  </r>
  <r>
    <x v="486"/>
    <x v="466"/>
    <x v="18"/>
    <x v="0"/>
    <n v="47"/>
    <n v="3049"/>
    <n v="64.872340425531917"/>
    <n v="6.1331584125942931E-2"/>
    <n v="187"/>
  </r>
  <r>
    <x v="352"/>
    <x v="437"/>
    <x v="18"/>
    <x v="0"/>
    <n v="69"/>
    <n v="47514"/>
    <n v="688.60869565217388"/>
    <n v="1.8520857010565308E-3"/>
    <n v="88"/>
  </r>
  <r>
    <x v="487"/>
    <x v="467"/>
    <x v="18"/>
    <x v="0"/>
    <n v="5"/>
    <n v="22"/>
    <n v="4.4000000000000004"/>
    <n v="0.31818181818181818"/>
    <n v="7"/>
  </r>
  <r>
    <x v="488"/>
    <x v="468"/>
    <x v="18"/>
    <x v="0"/>
    <n v="3"/>
    <n v="49"/>
    <n v="16.333333333333332"/>
    <n v="8.1632653061224483E-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78C8E0-C40F-4D06-A64C-EA1591809B4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Channels">
  <location ref="A112:B122" firstHeaderRow="1" firstDataRow="1" firstDataCol="1"/>
  <pivotFields count="12">
    <pivotField axis="axisRow" showAll="0" measureFilter="1" sortType="ascending">
      <items count="490">
        <item x="34"/>
        <item x="110"/>
        <item x="159"/>
        <item x="234"/>
        <item x="182"/>
        <item x="231"/>
        <item x="1"/>
        <item x="486"/>
        <item x="104"/>
        <item x="121"/>
        <item x="428"/>
        <item x="225"/>
        <item x="257"/>
        <item x="221"/>
        <item x="201"/>
        <item x="443"/>
        <item x="312"/>
        <item x="390"/>
        <item x="207"/>
        <item x="351"/>
        <item x="278"/>
        <item x="291"/>
        <item x="268"/>
        <item x="238"/>
        <item x="406"/>
        <item x="136"/>
        <item x="152"/>
        <item x="402"/>
        <item x="131"/>
        <item x="102"/>
        <item x="150"/>
        <item x="285"/>
        <item x="127"/>
        <item x="13"/>
        <item x="286"/>
        <item x="252"/>
        <item x="236"/>
        <item x="4"/>
        <item x="83"/>
        <item x="44"/>
        <item x="33"/>
        <item x="103"/>
        <item x="175"/>
        <item x="184"/>
        <item x="448"/>
        <item x="296"/>
        <item x="248"/>
        <item x="94"/>
        <item x="258"/>
        <item x="346"/>
        <item x="294"/>
        <item x="181"/>
        <item x="148"/>
        <item x="60"/>
        <item x="38"/>
        <item x="16"/>
        <item x="48"/>
        <item x="77"/>
        <item x="199"/>
        <item x="472"/>
        <item x="261"/>
        <item x="65"/>
        <item x="56"/>
        <item x="59"/>
        <item x="459"/>
        <item x="313"/>
        <item x="177"/>
        <item x="132"/>
        <item x="15"/>
        <item x="170"/>
        <item x="280"/>
        <item x="316"/>
        <item x="469"/>
        <item x="233"/>
        <item x="433"/>
        <item x="276"/>
        <item x="422"/>
        <item x="295"/>
        <item x="222"/>
        <item x="200"/>
        <item x="343"/>
        <item x="215"/>
        <item x="265"/>
        <item x="109"/>
        <item x="96"/>
        <item x="300"/>
        <item x="292"/>
        <item x="191"/>
        <item x="119"/>
        <item x="362"/>
        <item x="208"/>
        <item x="124"/>
        <item x="219"/>
        <item x="23"/>
        <item x="123"/>
        <item x="149"/>
        <item x="151"/>
        <item x="30"/>
        <item x="31"/>
        <item x="133"/>
        <item x="194"/>
        <item x="371"/>
        <item x="290"/>
        <item x="353"/>
        <item x="399"/>
        <item x="465"/>
        <item x="461"/>
        <item x="101"/>
        <item x="161"/>
        <item x="130"/>
        <item x="190"/>
        <item x="99"/>
        <item x="21"/>
        <item x="76"/>
        <item x="397"/>
        <item x="449"/>
        <item x="355"/>
        <item x="162"/>
        <item x="395"/>
        <item x="88"/>
        <item x="425"/>
        <item x="183"/>
        <item x="370"/>
        <item x="45"/>
        <item x="360"/>
        <item x="147"/>
        <item x="46"/>
        <item x="41"/>
        <item x="310"/>
        <item x="137"/>
        <item x="235"/>
        <item x="255"/>
        <item x="340"/>
        <item x="420"/>
        <item x="154"/>
        <item x="254"/>
        <item x="442"/>
        <item x="144"/>
        <item x="68"/>
        <item x="468"/>
        <item x="288"/>
        <item x="336"/>
        <item x="277"/>
        <item x="263"/>
        <item x="167"/>
        <item x="169"/>
        <item x="57"/>
        <item x="93"/>
        <item x="211"/>
        <item x="407"/>
        <item x="117"/>
        <item x="139"/>
        <item x="317"/>
        <item x="95"/>
        <item x="232"/>
        <item x="227"/>
        <item x="82"/>
        <item x="474"/>
        <item x="471"/>
        <item x="29"/>
        <item x="289"/>
        <item x="100"/>
        <item x="452"/>
        <item x="467"/>
        <item x="382"/>
        <item x="163"/>
        <item x="228"/>
        <item x="401"/>
        <item x="7"/>
        <item x="26"/>
        <item x="283"/>
        <item x="274"/>
        <item x="439"/>
        <item x="333"/>
        <item x="138"/>
        <item x="301"/>
        <item x="272"/>
        <item x="142"/>
        <item x="70"/>
        <item x="106"/>
        <item x="71"/>
        <item x="239"/>
        <item x="91"/>
        <item x="87"/>
        <item x="107"/>
        <item x="348"/>
        <item x="444"/>
        <item x="229"/>
        <item x="86"/>
        <item x="108"/>
        <item x="273"/>
        <item x="250"/>
        <item x="464"/>
        <item x="322"/>
        <item x="69"/>
        <item x="282"/>
        <item x="202"/>
        <item x="180"/>
        <item x="51"/>
        <item x="198"/>
        <item x="105"/>
        <item x="145"/>
        <item x="458"/>
        <item x="85"/>
        <item x="388"/>
        <item x="210"/>
        <item x="434"/>
        <item x="172"/>
        <item x="460"/>
        <item x="259"/>
        <item x="197"/>
        <item x="11"/>
        <item x="188"/>
        <item x="331"/>
        <item x="332"/>
        <item x="414"/>
        <item x="212"/>
        <item x="97"/>
        <item x="457"/>
        <item x="275"/>
        <item x="192"/>
        <item x="447"/>
        <item x="114"/>
        <item x="424"/>
        <item x="204"/>
        <item x="479"/>
        <item x="389"/>
        <item x="78"/>
        <item x="246"/>
        <item x="393"/>
        <item x="205"/>
        <item x="89"/>
        <item x="293"/>
        <item x="249"/>
        <item x="84"/>
        <item x="143"/>
        <item x="345"/>
        <item x="384"/>
        <item x="90"/>
        <item x="306"/>
        <item x="334"/>
        <item x="186"/>
        <item x="432"/>
        <item x="43"/>
        <item x="269"/>
        <item x="6"/>
        <item x="327"/>
        <item x="216"/>
        <item x="203"/>
        <item x="74"/>
        <item x="72"/>
        <item x="165"/>
        <item x="92"/>
        <item x="251"/>
        <item x="335"/>
        <item x="120"/>
        <item x="256"/>
        <item x="483"/>
        <item x="244"/>
        <item x="36"/>
        <item x="241"/>
        <item x="413"/>
        <item x="24"/>
        <item x="111"/>
        <item x="179"/>
        <item x="158"/>
        <item x="12"/>
        <item x="75"/>
        <item x="115"/>
        <item x="112"/>
        <item x="64"/>
        <item x="42"/>
        <item x="9"/>
        <item x="2"/>
        <item x="10"/>
        <item x="342"/>
        <item x="185"/>
        <item x="419"/>
        <item x="349"/>
        <item x="341"/>
        <item x="367"/>
        <item x="446"/>
        <item x="385"/>
        <item x="213"/>
        <item x="153"/>
        <item x="361"/>
        <item x="260"/>
        <item x="47"/>
        <item x="462"/>
        <item x="418"/>
        <item x="189"/>
        <item x="80"/>
        <item x="237"/>
        <item x="339"/>
        <item x="176"/>
        <item x="369"/>
        <item x="387"/>
        <item x="480"/>
        <item x="485"/>
        <item x="304"/>
        <item x="178"/>
        <item x="193"/>
        <item x="403"/>
        <item x="247"/>
        <item x="476"/>
        <item x="437"/>
        <item x="409"/>
        <item x="307"/>
        <item x="328"/>
        <item x="423"/>
        <item x="129"/>
        <item x="226"/>
        <item x="39"/>
        <item x="141"/>
        <item x="298"/>
        <item x="417"/>
        <item x="308"/>
        <item x="412"/>
        <item x="440"/>
        <item x="427"/>
        <item x="3"/>
        <item x="155"/>
        <item x="55"/>
        <item x="383"/>
        <item x="435"/>
        <item x="381"/>
        <item x="73"/>
        <item x="481"/>
        <item x="456"/>
        <item x="478"/>
        <item x="372"/>
        <item x="125"/>
        <item x="297"/>
        <item x="81"/>
        <item x="358"/>
        <item x="430"/>
        <item x="376"/>
        <item x="344"/>
        <item x="323"/>
        <item x="113"/>
        <item x="466"/>
        <item x="262"/>
        <item x="318"/>
        <item x="488"/>
        <item x="411"/>
        <item x="264"/>
        <item x="455"/>
        <item x="482"/>
        <item x="484"/>
        <item x="398"/>
        <item x="363"/>
        <item x="463"/>
        <item x="359"/>
        <item x="475"/>
        <item x="347"/>
        <item x="366"/>
        <item x="364"/>
        <item x="378"/>
        <item x="245"/>
        <item x="67"/>
        <item x="438"/>
        <item x="356"/>
        <item x="391"/>
        <item x="20"/>
        <item x="242"/>
        <item x="49"/>
        <item x="441"/>
        <item x="98"/>
        <item x="454"/>
        <item x="35"/>
        <item x="377"/>
        <item x="321"/>
        <item x="315"/>
        <item x="206"/>
        <item x="410"/>
        <item x="299"/>
        <item x="196"/>
        <item x="350"/>
        <item x="325"/>
        <item x="352"/>
        <item x="224"/>
        <item x="314"/>
        <item x="338"/>
        <item x="380"/>
        <item x="392"/>
        <item x="386"/>
        <item x="445"/>
        <item x="394"/>
        <item x="319"/>
        <item x="217"/>
        <item x="337"/>
        <item x="8"/>
        <item x="396"/>
        <item x="61"/>
        <item x="54"/>
        <item x="240"/>
        <item x="243"/>
        <item x="453"/>
        <item x="329"/>
        <item x="166"/>
        <item x="28"/>
        <item x="0"/>
        <item x="160"/>
        <item x="52"/>
        <item x="487"/>
        <item x="326"/>
        <item x="281"/>
        <item x="214"/>
        <item x="118"/>
        <item x="128"/>
        <item x="311"/>
        <item x="279"/>
        <item x="374"/>
        <item x="373"/>
        <item x="253"/>
        <item x="116"/>
        <item x="408"/>
        <item x="302"/>
        <item x="436"/>
        <item x="223"/>
        <item x="5"/>
        <item x="32"/>
        <item x="27"/>
        <item x="18"/>
        <item x="37"/>
        <item x="66"/>
        <item x="287"/>
        <item x="368"/>
        <item x="168"/>
        <item x="303"/>
        <item x="266"/>
        <item x="365"/>
        <item x="25"/>
        <item x="79"/>
        <item x="19"/>
        <item x="187"/>
        <item x="126"/>
        <item x="357"/>
        <item x="284"/>
        <item x="157"/>
        <item x="271"/>
        <item x="470"/>
        <item x="305"/>
        <item x="416"/>
        <item x="220"/>
        <item x="50"/>
        <item x="379"/>
        <item x="404"/>
        <item x="354"/>
        <item x="17"/>
        <item x="53"/>
        <item x="146"/>
        <item x="62"/>
        <item x="40"/>
        <item x="195"/>
        <item x="230"/>
        <item x="171"/>
        <item x="477"/>
        <item x="375"/>
        <item x="451"/>
        <item x="134"/>
        <item x="324"/>
        <item x="174"/>
        <item x="63"/>
        <item x="173"/>
        <item x="431"/>
        <item x="58"/>
        <item x="218"/>
        <item x="309"/>
        <item x="122"/>
        <item x="415"/>
        <item x="473"/>
        <item x="426"/>
        <item x="164"/>
        <item x="450"/>
        <item x="14"/>
        <item x="330"/>
        <item x="267"/>
        <item x="320"/>
        <item x="421"/>
        <item x="400"/>
        <item x="140"/>
        <item x="22"/>
        <item x="135"/>
        <item x="270"/>
        <item x="429"/>
        <item x="405"/>
        <item x="156"/>
        <item x="209"/>
        <item t="default"/>
      </items>
      <autoSortScope>
        <pivotArea dataOnly="0" outline="0" fieldPosition="0">
          <references count="1">
            <reference field="4294967294" count="1" selected="0">
              <x v="0"/>
            </reference>
          </references>
        </pivotArea>
      </autoSortScope>
    </pivotField>
    <pivotField numFmtId="14" showAll="0">
      <items count="470">
        <item x="52"/>
        <item x="29"/>
        <item x="213"/>
        <item x="184"/>
        <item x="25"/>
        <item x="132"/>
        <item x="53"/>
        <item x="221"/>
        <item x="15"/>
        <item x="35"/>
        <item x="60"/>
        <item x="68"/>
        <item x="269"/>
        <item x="161"/>
        <item x="219"/>
        <item x="109"/>
        <item x="59"/>
        <item x="51"/>
        <item x="121"/>
        <item x="211"/>
        <item x="101"/>
        <item x="17"/>
        <item x="163"/>
        <item x="257"/>
        <item x="212"/>
        <item x="94"/>
        <item x="118"/>
        <item x="85"/>
        <item x="66"/>
        <item x="92"/>
        <item x="78"/>
        <item x="133"/>
        <item x="80"/>
        <item x="96"/>
        <item x="22"/>
        <item x="16"/>
        <item x="234"/>
        <item x="179"/>
        <item x="321"/>
        <item x="196"/>
        <item x="64"/>
        <item x="238"/>
        <item x="149"/>
        <item x="43"/>
        <item x="208"/>
        <item x="102"/>
        <item x="98"/>
        <item x="224"/>
        <item x="62"/>
        <item x="5"/>
        <item x="49"/>
        <item x="18"/>
        <item x="146"/>
        <item x="188"/>
        <item x="145"/>
        <item x="356"/>
        <item x="135"/>
        <item x="93"/>
        <item x="124"/>
        <item x="42"/>
        <item x="311"/>
        <item x="45"/>
        <item x="50"/>
        <item x="37"/>
        <item x="32"/>
        <item x="372"/>
        <item x="14"/>
        <item x="175"/>
        <item x="419"/>
        <item x="316"/>
        <item x="265"/>
        <item x="20"/>
        <item x="71"/>
        <item x="4"/>
        <item x="384"/>
        <item x="46"/>
        <item x="225"/>
        <item x="365"/>
        <item x="21"/>
        <item x="89"/>
        <item x="111"/>
        <item x="13"/>
        <item x="44"/>
        <item x="189"/>
        <item x="36"/>
        <item x="105"/>
        <item x="129"/>
        <item x="214"/>
        <item x="112"/>
        <item x="150"/>
        <item x="55"/>
        <item x="182"/>
        <item x="251"/>
        <item x="291"/>
        <item x="156"/>
        <item x="79"/>
        <item x="173"/>
        <item x="2"/>
        <item x="30"/>
        <item x="193"/>
        <item x="185"/>
        <item x="154"/>
        <item x="300"/>
        <item x="252"/>
        <item x="77"/>
        <item x="119"/>
        <item x="106"/>
        <item x="172"/>
        <item x="276"/>
        <item x="237"/>
        <item x="428"/>
        <item x="122"/>
        <item x="399"/>
        <item x="120"/>
        <item x="355"/>
        <item x="54"/>
        <item x="12"/>
        <item x="274"/>
        <item x="56"/>
        <item x="19"/>
        <item x="376"/>
        <item x="192"/>
        <item x="329"/>
        <item x="33"/>
        <item x="158"/>
        <item x="114"/>
        <item x="10"/>
        <item x="125"/>
        <item x="262"/>
        <item x="360"/>
        <item x="27"/>
        <item x="289"/>
        <item x="61"/>
        <item x="1"/>
        <item x="404"/>
        <item x="200"/>
        <item x="82"/>
        <item x="137"/>
        <item x="176"/>
        <item x="34"/>
        <item x="432"/>
        <item x="168"/>
        <item x="164"/>
        <item x="73"/>
        <item x="217"/>
        <item x="402"/>
        <item x="147"/>
        <item x="115"/>
        <item x="131"/>
        <item x="322"/>
        <item x="83"/>
        <item x="31"/>
        <item x="286"/>
        <item x="97"/>
        <item x="233"/>
        <item x="195"/>
        <item x="287"/>
        <item x="373"/>
        <item x="307"/>
        <item x="9"/>
        <item x="123"/>
        <item x="38"/>
        <item x="227"/>
        <item x="178"/>
        <item x="242"/>
        <item x="374"/>
        <item x="90"/>
        <item x="170"/>
        <item x="148"/>
        <item x="88"/>
        <item x="116"/>
        <item x="11"/>
        <item x="358"/>
        <item x="199"/>
        <item x="421"/>
        <item x="6"/>
        <item x="210"/>
        <item x="100"/>
        <item x="465"/>
        <item x="207"/>
        <item x="226"/>
        <item x="110"/>
        <item x="255"/>
        <item x="343"/>
        <item x="99"/>
        <item x="295"/>
        <item x="136"/>
        <item x="26"/>
        <item x="266"/>
        <item x="323"/>
        <item x="434"/>
        <item x="394"/>
        <item x="204"/>
        <item x="253"/>
        <item x="378"/>
        <item x="368"/>
        <item x="86"/>
        <item x="249"/>
        <item x="209"/>
        <item x="223"/>
        <item x="139"/>
        <item x="104"/>
        <item x="28"/>
        <item x="244"/>
        <item x="40"/>
        <item x="127"/>
        <item x="126"/>
        <item x="138"/>
        <item x="363"/>
        <item x="75"/>
        <item x="155"/>
        <item x="58"/>
        <item x="39"/>
        <item x="7"/>
        <item x="239"/>
        <item x="366"/>
        <item x="3"/>
        <item x="69"/>
        <item x="310"/>
        <item x="130"/>
        <item x="8"/>
        <item x="140"/>
        <item x="231"/>
        <item x="229"/>
        <item x="84"/>
        <item x="103"/>
        <item x="107"/>
        <item x="166"/>
        <item x="201"/>
        <item x="250"/>
        <item x="74"/>
        <item x="391"/>
        <item x="220"/>
        <item x="260"/>
        <item x="439"/>
        <item x="87"/>
        <item x="267"/>
        <item x="128"/>
        <item x="425"/>
        <item x="91"/>
        <item x="117"/>
        <item x="177"/>
        <item x="236"/>
        <item x="198"/>
        <item x="459"/>
        <item x="108"/>
        <item x="47"/>
        <item x="271"/>
        <item x="317"/>
        <item x="357"/>
        <item x="143"/>
        <item x="284"/>
        <item x="57"/>
        <item x="457"/>
        <item x="48"/>
        <item x="0"/>
        <item x="403"/>
        <item x="141"/>
        <item x="305"/>
        <item x="427"/>
        <item x="41"/>
        <item x="159"/>
        <item x="312"/>
        <item x="426"/>
        <item x="393"/>
        <item x="387"/>
        <item x="410"/>
        <item x="325"/>
        <item x="169"/>
        <item x="218"/>
        <item x="303"/>
        <item x="332"/>
        <item x="447"/>
        <item x="280"/>
        <item x="375"/>
        <item x="292"/>
        <item x="65"/>
        <item x="327"/>
        <item x="298"/>
        <item x="24"/>
        <item x="301"/>
        <item x="95"/>
        <item x="277"/>
        <item x="23"/>
        <item x="246"/>
        <item x="167"/>
        <item x="222"/>
        <item x="76"/>
        <item x="171"/>
        <item x="245"/>
        <item x="436"/>
        <item x="152"/>
        <item x="157"/>
        <item x="348"/>
        <item x="241"/>
        <item x="206"/>
        <item x="72"/>
        <item x="240"/>
        <item x="380"/>
        <item x="331"/>
        <item x="134"/>
        <item x="430"/>
        <item x="342"/>
        <item x="113"/>
        <item x="412"/>
        <item x="230"/>
        <item x="352"/>
        <item x="338"/>
        <item x="215"/>
        <item x="272"/>
        <item x="181"/>
        <item x="278"/>
        <item x="306"/>
        <item x="203"/>
        <item x="70"/>
        <item x="293"/>
        <item x="256"/>
        <item x="382"/>
        <item x="174"/>
        <item x="153"/>
        <item x="371"/>
        <item x="232"/>
        <item x="401"/>
        <item x="67"/>
        <item x="424"/>
        <item x="183"/>
        <item x="420"/>
        <item x="361"/>
        <item x="142"/>
        <item x="151"/>
        <item x="388"/>
        <item x="197"/>
        <item x="160"/>
        <item x="270"/>
        <item x="350"/>
        <item x="63"/>
        <item x="81"/>
        <item x="324"/>
        <item x="423"/>
        <item x="320"/>
        <item x="390"/>
        <item x="397"/>
        <item x="398"/>
        <item x="281"/>
        <item x="165"/>
        <item x="351"/>
        <item x="461"/>
        <item x="290"/>
        <item x="443"/>
        <item x="194"/>
        <item x="346"/>
        <item x="187"/>
        <item x="431"/>
        <item x="444"/>
        <item x="313"/>
        <item x="354"/>
        <item x="258"/>
        <item x="385"/>
        <item x="205"/>
        <item x="422"/>
        <item x="416"/>
        <item x="288"/>
        <item x="279"/>
        <item x="328"/>
        <item x="162"/>
        <item x="458"/>
        <item x="341"/>
        <item x="304"/>
        <item x="386"/>
        <item x="415"/>
        <item x="330"/>
        <item x="438"/>
        <item x="455"/>
        <item x="309"/>
        <item x="259"/>
        <item x="282"/>
        <item x="335"/>
        <item x="435"/>
        <item x="406"/>
        <item x="405"/>
        <item x="297"/>
        <item x="441"/>
        <item x="191"/>
        <item x="247"/>
        <item x="144"/>
        <item x="417"/>
        <item x="453"/>
        <item x="367"/>
        <item x="407"/>
        <item x="318"/>
        <item x="414"/>
        <item x="411"/>
        <item x="446"/>
        <item x="448"/>
        <item x="180"/>
        <item x="467"/>
        <item x="308"/>
        <item x="454"/>
        <item x="464"/>
        <item x="261"/>
        <item x="418"/>
        <item x="445"/>
        <item x="442"/>
        <item x="186"/>
        <item x="264"/>
        <item x="370"/>
        <item x="437"/>
        <item x="456"/>
        <item x="263"/>
        <item x="460"/>
        <item x="248"/>
        <item x="345"/>
        <item x="243"/>
        <item x="449"/>
        <item x="462"/>
        <item x="429"/>
        <item x="413"/>
        <item x="228"/>
        <item x="468"/>
        <item x="336"/>
        <item x="337"/>
        <item x="452"/>
        <item x="339"/>
        <item x="353"/>
        <item x="466"/>
        <item x="216"/>
        <item x="349"/>
        <item x="440"/>
        <item x="254"/>
        <item x="285"/>
        <item x="392"/>
        <item x="326"/>
        <item x="379"/>
        <item x="377"/>
        <item x="296"/>
        <item x="381"/>
        <item x="302"/>
        <item x="273"/>
        <item x="409"/>
        <item x="319"/>
        <item x="408"/>
        <item x="395"/>
        <item x="334"/>
        <item x="347"/>
        <item x="235"/>
        <item x="389"/>
        <item x="314"/>
        <item x="383"/>
        <item x="294"/>
        <item x="450"/>
        <item x="451"/>
        <item x="202"/>
        <item x="315"/>
        <item x="190"/>
        <item x="362"/>
        <item x="275"/>
        <item x="400"/>
        <item x="299"/>
        <item x="268"/>
        <item x="340"/>
        <item x="344"/>
        <item x="433"/>
        <item x="364"/>
        <item x="283"/>
        <item x="333"/>
        <item x="369"/>
        <item x="396"/>
        <item x="463"/>
        <item x="359"/>
        <item t="default"/>
      </items>
    </pivotField>
    <pivotField showAll="0">
      <items count="21">
        <item x="14"/>
        <item x="12"/>
        <item x="8"/>
        <item x="17"/>
        <item x="10"/>
        <item x="16"/>
        <item x="9"/>
        <item x="13"/>
        <item x="5"/>
        <item x="4"/>
        <item x="2"/>
        <item x="1"/>
        <item x="7"/>
        <item x="6"/>
        <item x="3"/>
        <item x="0"/>
        <item x="11"/>
        <item x="15"/>
        <item x="18"/>
        <item x="19"/>
        <item t="default"/>
      </items>
    </pivotField>
    <pivotField showAll="0">
      <items count="4">
        <item x="1"/>
        <item x="0"/>
        <item x="2"/>
        <item t="default"/>
      </items>
    </pivotField>
    <pivotField showAll="0"/>
    <pivotField showAll="0"/>
    <pivotField dataField="1"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0"/>
  </rowFields>
  <rowItems count="10">
    <i>
      <x v="460"/>
    </i>
    <i>
      <x v="227"/>
    </i>
    <i>
      <x v="450"/>
    </i>
    <i>
      <x v="23"/>
    </i>
    <i>
      <x v="203"/>
    </i>
    <i>
      <x v="127"/>
    </i>
    <i>
      <x v="249"/>
    </i>
    <i>
      <x v="94"/>
    </i>
    <i>
      <x v="207"/>
    </i>
    <i>
      <x v="32"/>
    </i>
  </rowItems>
  <colItems count="1">
    <i/>
  </colItems>
  <dataFields count="1">
    <dataField name="Average of Views/Video" fld="6" subtotal="average" baseField="0" baseItem="460" numFmtId="2"/>
  </dataFields>
  <formats count="2">
    <format dxfId="42">
      <pivotArea collapsedLevelsAreSubtotals="1" fieldPosition="0">
        <references count="1">
          <reference field="0" count="1">
            <x v="460"/>
          </reference>
        </references>
      </pivotArea>
    </format>
    <format dxfId="37">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A71EF-96EF-4E34-B326-3DBC390A4978}"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Channel">
  <location ref="A60:B70" firstHeaderRow="1" firstDataRow="1" firstDataCol="1"/>
  <pivotFields count="12">
    <pivotField axis="axisRow" showAll="0" measureFilter="1" sortType="ascending">
      <items count="490">
        <item x="34"/>
        <item x="110"/>
        <item x="159"/>
        <item x="234"/>
        <item x="182"/>
        <item x="231"/>
        <item x="1"/>
        <item x="486"/>
        <item x="104"/>
        <item x="121"/>
        <item x="428"/>
        <item x="225"/>
        <item x="257"/>
        <item x="221"/>
        <item x="201"/>
        <item x="443"/>
        <item x="312"/>
        <item x="390"/>
        <item x="207"/>
        <item x="351"/>
        <item x="278"/>
        <item x="291"/>
        <item x="268"/>
        <item x="238"/>
        <item x="406"/>
        <item x="136"/>
        <item x="152"/>
        <item x="402"/>
        <item x="131"/>
        <item x="102"/>
        <item x="150"/>
        <item x="285"/>
        <item x="127"/>
        <item x="13"/>
        <item x="286"/>
        <item x="252"/>
        <item x="236"/>
        <item x="4"/>
        <item x="83"/>
        <item x="44"/>
        <item x="33"/>
        <item x="103"/>
        <item x="175"/>
        <item x="184"/>
        <item x="448"/>
        <item x="296"/>
        <item x="248"/>
        <item x="94"/>
        <item x="258"/>
        <item x="346"/>
        <item x="294"/>
        <item x="181"/>
        <item x="148"/>
        <item x="60"/>
        <item x="38"/>
        <item x="16"/>
        <item x="48"/>
        <item x="77"/>
        <item x="199"/>
        <item x="472"/>
        <item x="261"/>
        <item x="65"/>
        <item x="56"/>
        <item x="59"/>
        <item x="459"/>
        <item x="313"/>
        <item x="177"/>
        <item x="132"/>
        <item x="15"/>
        <item x="170"/>
        <item x="280"/>
        <item x="316"/>
        <item x="469"/>
        <item x="233"/>
        <item x="433"/>
        <item x="276"/>
        <item x="422"/>
        <item x="295"/>
        <item x="222"/>
        <item x="200"/>
        <item x="343"/>
        <item x="215"/>
        <item x="265"/>
        <item x="109"/>
        <item x="96"/>
        <item x="300"/>
        <item x="292"/>
        <item x="191"/>
        <item x="119"/>
        <item x="362"/>
        <item x="208"/>
        <item x="124"/>
        <item x="219"/>
        <item x="23"/>
        <item x="123"/>
        <item x="149"/>
        <item x="151"/>
        <item x="30"/>
        <item x="31"/>
        <item x="133"/>
        <item x="194"/>
        <item x="371"/>
        <item x="290"/>
        <item x="353"/>
        <item x="399"/>
        <item x="465"/>
        <item x="461"/>
        <item x="101"/>
        <item x="161"/>
        <item x="130"/>
        <item x="190"/>
        <item x="99"/>
        <item x="21"/>
        <item x="76"/>
        <item x="397"/>
        <item x="449"/>
        <item x="355"/>
        <item x="162"/>
        <item x="395"/>
        <item x="88"/>
        <item x="425"/>
        <item x="183"/>
        <item x="370"/>
        <item x="45"/>
        <item x="360"/>
        <item x="147"/>
        <item x="46"/>
        <item x="41"/>
        <item x="310"/>
        <item x="137"/>
        <item x="235"/>
        <item x="255"/>
        <item x="340"/>
        <item x="420"/>
        <item x="154"/>
        <item x="254"/>
        <item x="442"/>
        <item x="144"/>
        <item x="68"/>
        <item x="468"/>
        <item x="288"/>
        <item x="336"/>
        <item x="277"/>
        <item x="263"/>
        <item x="167"/>
        <item x="169"/>
        <item x="57"/>
        <item x="93"/>
        <item x="211"/>
        <item x="407"/>
        <item x="117"/>
        <item x="139"/>
        <item x="317"/>
        <item x="95"/>
        <item x="232"/>
        <item x="227"/>
        <item x="82"/>
        <item x="474"/>
        <item x="471"/>
        <item x="29"/>
        <item x="289"/>
        <item x="100"/>
        <item x="452"/>
        <item x="467"/>
        <item x="382"/>
        <item x="163"/>
        <item x="228"/>
        <item x="401"/>
        <item x="7"/>
        <item x="26"/>
        <item x="283"/>
        <item x="274"/>
        <item x="439"/>
        <item x="333"/>
        <item x="138"/>
        <item x="301"/>
        <item x="272"/>
        <item x="142"/>
        <item x="70"/>
        <item x="106"/>
        <item x="71"/>
        <item x="239"/>
        <item x="91"/>
        <item x="87"/>
        <item x="107"/>
        <item x="348"/>
        <item x="444"/>
        <item x="229"/>
        <item x="86"/>
        <item x="108"/>
        <item x="273"/>
        <item x="250"/>
        <item x="464"/>
        <item x="322"/>
        <item x="69"/>
        <item x="282"/>
        <item x="202"/>
        <item x="180"/>
        <item x="51"/>
        <item x="198"/>
        <item x="105"/>
        <item x="145"/>
        <item x="458"/>
        <item x="85"/>
        <item x="388"/>
        <item x="210"/>
        <item x="434"/>
        <item x="172"/>
        <item x="460"/>
        <item x="259"/>
        <item x="197"/>
        <item x="11"/>
        <item x="188"/>
        <item x="331"/>
        <item x="332"/>
        <item x="414"/>
        <item x="212"/>
        <item x="97"/>
        <item x="457"/>
        <item x="275"/>
        <item x="192"/>
        <item x="447"/>
        <item x="114"/>
        <item x="424"/>
        <item x="204"/>
        <item x="479"/>
        <item x="389"/>
        <item x="78"/>
        <item x="246"/>
        <item x="393"/>
        <item x="205"/>
        <item x="89"/>
        <item x="293"/>
        <item x="249"/>
        <item x="84"/>
        <item x="143"/>
        <item x="345"/>
        <item x="384"/>
        <item x="90"/>
        <item x="306"/>
        <item x="334"/>
        <item x="186"/>
        <item x="432"/>
        <item x="43"/>
        <item x="269"/>
        <item x="6"/>
        <item x="327"/>
        <item x="216"/>
        <item x="203"/>
        <item x="74"/>
        <item x="72"/>
        <item x="165"/>
        <item x="92"/>
        <item x="251"/>
        <item x="335"/>
        <item x="120"/>
        <item x="256"/>
        <item x="483"/>
        <item x="244"/>
        <item x="36"/>
        <item x="241"/>
        <item x="413"/>
        <item x="24"/>
        <item x="111"/>
        <item x="179"/>
        <item x="158"/>
        <item x="12"/>
        <item x="75"/>
        <item x="115"/>
        <item x="112"/>
        <item x="64"/>
        <item x="42"/>
        <item x="9"/>
        <item x="2"/>
        <item x="10"/>
        <item x="342"/>
        <item x="185"/>
        <item x="419"/>
        <item x="349"/>
        <item x="341"/>
        <item x="367"/>
        <item x="446"/>
        <item x="385"/>
        <item x="213"/>
        <item x="153"/>
        <item x="361"/>
        <item x="260"/>
        <item x="47"/>
        <item x="462"/>
        <item x="418"/>
        <item x="189"/>
        <item x="80"/>
        <item x="237"/>
        <item x="339"/>
        <item x="176"/>
        <item x="369"/>
        <item x="387"/>
        <item x="480"/>
        <item x="485"/>
        <item x="304"/>
        <item x="178"/>
        <item x="193"/>
        <item x="403"/>
        <item x="247"/>
        <item x="476"/>
        <item x="437"/>
        <item x="409"/>
        <item x="307"/>
        <item x="328"/>
        <item x="423"/>
        <item x="129"/>
        <item x="226"/>
        <item x="39"/>
        <item x="141"/>
        <item x="298"/>
        <item x="417"/>
        <item x="308"/>
        <item x="412"/>
        <item x="440"/>
        <item x="427"/>
        <item x="3"/>
        <item x="155"/>
        <item x="55"/>
        <item x="383"/>
        <item x="435"/>
        <item x="381"/>
        <item x="73"/>
        <item x="481"/>
        <item x="456"/>
        <item x="478"/>
        <item x="372"/>
        <item x="125"/>
        <item x="297"/>
        <item x="81"/>
        <item x="358"/>
        <item x="430"/>
        <item x="376"/>
        <item x="344"/>
        <item x="323"/>
        <item x="113"/>
        <item x="466"/>
        <item x="262"/>
        <item x="318"/>
        <item x="488"/>
        <item x="411"/>
        <item x="264"/>
        <item x="455"/>
        <item x="482"/>
        <item x="484"/>
        <item x="398"/>
        <item x="363"/>
        <item x="463"/>
        <item x="359"/>
        <item x="475"/>
        <item x="347"/>
        <item x="366"/>
        <item x="364"/>
        <item x="378"/>
        <item x="245"/>
        <item x="67"/>
        <item x="438"/>
        <item x="356"/>
        <item x="391"/>
        <item x="20"/>
        <item x="242"/>
        <item x="49"/>
        <item x="441"/>
        <item x="98"/>
        <item x="454"/>
        <item x="35"/>
        <item x="377"/>
        <item x="321"/>
        <item x="315"/>
        <item x="206"/>
        <item x="410"/>
        <item x="299"/>
        <item x="196"/>
        <item x="350"/>
        <item x="325"/>
        <item x="352"/>
        <item x="224"/>
        <item x="314"/>
        <item x="338"/>
        <item x="380"/>
        <item x="392"/>
        <item x="386"/>
        <item x="445"/>
        <item x="394"/>
        <item x="319"/>
        <item x="217"/>
        <item x="337"/>
        <item x="8"/>
        <item x="396"/>
        <item x="61"/>
        <item x="54"/>
        <item x="240"/>
        <item x="243"/>
        <item x="453"/>
        <item x="329"/>
        <item x="166"/>
        <item x="28"/>
        <item x="0"/>
        <item x="160"/>
        <item x="52"/>
        <item x="487"/>
        <item x="326"/>
        <item x="281"/>
        <item x="214"/>
        <item x="118"/>
        <item x="128"/>
        <item x="311"/>
        <item x="279"/>
        <item x="374"/>
        <item x="373"/>
        <item x="253"/>
        <item x="116"/>
        <item x="408"/>
        <item x="302"/>
        <item x="436"/>
        <item x="223"/>
        <item x="5"/>
        <item x="32"/>
        <item x="27"/>
        <item x="18"/>
        <item x="37"/>
        <item x="66"/>
        <item x="287"/>
        <item x="368"/>
        <item x="168"/>
        <item x="303"/>
        <item x="266"/>
        <item x="365"/>
        <item x="25"/>
        <item x="79"/>
        <item x="19"/>
        <item x="187"/>
        <item x="126"/>
        <item x="357"/>
        <item x="284"/>
        <item x="157"/>
        <item x="271"/>
        <item x="470"/>
        <item x="305"/>
        <item x="416"/>
        <item x="220"/>
        <item x="50"/>
        <item x="379"/>
        <item x="404"/>
        <item x="354"/>
        <item x="17"/>
        <item x="53"/>
        <item x="146"/>
        <item x="62"/>
        <item x="40"/>
        <item x="195"/>
        <item x="230"/>
        <item x="171"/>
        <item x="477"/>
        <item x="375"/>
        <item x="451"/>
        <item x="134"/>
        <item x="324"/>
        <item x="174"/>
        <item x="63"/>
        <item x="173"/>
        <item x="431"/>
        <item x="58"/>
        <item x="218"/>
        <item x="309"/>
        <item x="122"/>
        <item x="415"/>
        <item x="473"/>
        <item x="426"/>
        <item x="164"/>
        <item x="450"/>
        <item x="14"/>
        <item x="330"/>
        <item x="267"/>
        <item x="320"/>
        <item x="421"/>
        <item x="400"/>
        <item x="140"/>
        <item x="22"/>
        <item x="135"/>
        <item x="270"/>
        <item x="429"/>
        <item x="405"/>
        <item x="156"/>
        <item x="209"/>
        <item t="default"/>
      </items>
      <autoSortScope>
        <pivotArea dataOnly="0" outline="0" fieldPosition="0">
          <references count="1">
            <reference field="4294967294" count="1" selected="0">
              <x v="0"/>
            </reference>
          </references>
        </pivotArea>
      </autoSortScope>
    </pivotField>
    <pivotField numFmtId="14" showAll="0">
      <items count="470">
        <item x="52"/>
        <item x="29"/>
        <item x="213"/>
        <item x="184"/>
        <item x="25"/>
        <item x="132"/>
        <item x="53"/>
        <item x="221"/>
        <item x="15"/>
        <item x="35"/>
        <item x="60"/>
        <item x="68"/>
        <item x="269"/>
        <item x="161"/>
        <item x="219"/>
        <item x="109"/>
        <item x="59"/>
        <item x="51"/>
        <item x="121"/>
        <item x="211"/>
        <item x="101"/>
        <item x="17"/>
        <item x="163"/>
        <item x="257"/>
        <item x="212"/>
        <item x="94"/>
        <item x="118"/>
        <item x="85"/>
        <item x="66"/>
        <item x="92"/>
        <item x="78"/>
        <item x="133"/>
        <item x="80"/>
        <item x="96"/>
        <item x="22"/>
        <item x="16"/>
        <item x="234"/>
        <item x="179"/>
        <item x="321"/>
        <item x="196"/>
        <item x="64"/>
        <item x="238"/>
        <item x="149"/>
        <item x="43"/>
        <item x="208"/>
        <item x="102"/>
        <item x="98"/>
        <item x="224"/>
        <item x="62"/>
        <item x="5"/>
        <item x="49"/>
        <item x="18"/>
        <item x="146"/>
        <item x="188"/>
        <item x="145"/>
        <item x="356"/>
        <item x="135"/>
        <item x="93"/>
        <item x="124"/>
        <item x="42"/>
        <item x="311"/>
        <item x="45"/>
        <item x="50"/>
        <item x="37"/>
        <item x="32"/>
        <item x="372"/>
        <item x="14"/>
        <item x="175"/>
        <item x="419"/>
        <item x="316"/>
        <item x="265"/>
        <item x="20"/>
        <item x="71"/>
        <item x="4"/>
        <item x="384"/>
        <item x="46"/>
        <item x="225"/>
        <item x="365"/>
        <item x="21"/>
        <item x="89"/>
        <item x="111"/>
        <item x="13"/>
        <item x="44"/>
        <item x="189"/>
        <item x="36"/>
        <item x="105"/>
        <item x="129"/>
        <item x="214"/>
        <item x="112"/>
        <item x="150"/>
        <item x="55"/>
        <item x="182"/>
        <item x="251"/>
        <item x="291"/>
        <item x="156"/>
        <item x="79"/>
        <item x="173"/>
        <item x="2"/>
        <item x="30"/>
        <item x="193"/>
        <item x="185"/>
        <item x="154"/>
        <item x="300"/>
        <item x="252"/>
        <item x="77"/>
        <item x="119"/>
        <item x="106"/>
        <item x="172"/>
        <item x="276"/>
        <item x="237"/>
        <item x="428"/>
        <item x="122"/>
        <item x="399"/>
        <item x="120"/>
        <item x="355"/>
        <item x="54"/>
        <item x="12"/>
        <item x="274"/>
        <item x="56"/>
        <item x="19"/>
        <item x="376"/>
        <item x="192"/>
        <item x="329"/>
        <item x="33"/>
        <item x="158"/>
        <item x="114"/>
        <item x="10"/>
        <item x="125"/>
        <item x="262"/>
        <item x="360"/>
        <item x="27"/>
        <item x="289"/>
        <item x="61"/>
        <item x="1"/>
        <item x="404"/>
        <item x="200"/>
        <item x="82"/>
        <item x="137"/>
        <item x="176"/>
        <item x="34"/>
        <item x="432"/>
        <item x="168"/>
        <item x="164"/>
        <item x="73"/>
        <item x="217"/>
        <item x="402"/>
        <item x="147"/>
        <item x="115"/>
        <item x="131"/>
        <item x="322"/>
        <item x="83"/>
        <item x="31"/>
        <item x="286"/>
        <item x="97"/>
        <item x="233"/>
        <item x="195"/>
        <item x="287"/>
        <item x="373"/>
        <item x="307"/>
        <item x="9"/>
        <item x="123"/>
        <item x="38"/>
        <item x="227"/>
        <item x="178"/>
        <item x="242"/>
        <item x="374"/>
        <item x="90"/>
        <item x="170"/>
        <item x="148"/>
        <item x="88"/>
        <item x="116"/>
        <item x="11"/>
        <item x="358"/>
        <item x="199"/>
        <item x="421"/>
        <item x="6"/>
        <item x="210"/>
        <item x="100"/>
        <item x="465"/>
        <item x="207"/>
        <item x="226"/>
        <item x="110"/>
        <item x="255"/>
        <item x="343"/>
        <item x="99"/>
        <item x="295"/>
        <item x="136"/>
        <item x="26"/>
        <item x="266"/>
        <item x="323"/>
        <item x="434"/>
        <item x="394"/>
        <item x="204"/>
        <item x="253"/>
        <item x="378"/>
        <item x="368"/>
        <item x="86"/>
        <item x="249"/>
        <item x="209"/>
        <item x="223"/>
        <item x="139"/>
        <item x="104"/>
        <item x="28"/>
        <item x="244"/>
        <item x="40"/>
        <item x="127"/>
        <item x="126"/>
        <item x="138"/>
        <item x="363"/>
        <item x="75"/>
        <item x="155"/>
        <item x="58"/>
        <item x="39"/>
        <item x="7"/>
        <item x="239"/>
        <item x="366"/>
        <item x="3"/>
        <item x="69"/>
        <item x="310"/>
        <item x="130"/>
        <item x="8"/>
        <item x="140"/>
        <item x="231"/>
        <item x="229"/>
        <item x="84"/>
        <item x="103"/>
        <item x="107"/>
        <item x="166"/>
        <item x="201"/>
        <item x="250"/>
        <item x="74"/>
        <item x="391"/>
        <item x="220"/>
        <item x="260"/>
        <item x="439"/>
        <item x="87"/>
        <item x="267"/>
        <item x="128"/>
        <item x="425"/>
        <item x="91"/>
        <item x="117"/>
        <item x="177"/>
        <item x="236"/>
        <item x="198"/>
        <item x="459"/>
        <item x="108"/>
        <item x="47"/>
        <item x="271"/>
        <item x="317"/>
        <item x="357"/>
        <item x="143"/>
        <item x="284"/>
        <item x="57"/>
        <item x="457"/>
        <item x="48"/>
        <item x="0"/>
        <item x="403"/>
        <item x="141"/>
        <item x="305"/>
        <item x="427"/>
        <item x="41"/>
        <item x="159"/>
        <item x="312"/>
        <item x="426"/>
        <item x="393"/>
        <item x="387"/>
        <item x="410"/>
        <item x="325"/>
        <item x="169"/>
        <item x="218"/>
        <item x="303"/>
        <item x="332"/>
        <item x="447"/>
        <item x="280"/>
        <item x="375"/>
        <item x="292"/>
        <item x="65"/>
        <item x="327"/>
        <item x="298"/>
        <item x="24"/>
        <item x="301"/>
        <item x="95"/>
        <item x="277"/>
        <item x="23"/>
        <item x="246"/>
        <item x="167"/>
        <item x="222"/>
        <item x="76"/>
        <item x="171"/>
        <item x="245"/>
        <item x="436"/>
        <item x="152"/>
        <item x="157"/>
        <item x="348"/>
        <item x="241"/>
        <item x="206"/>
        <item x="72"/>
        <item x="240"/>
        <item x="380"/>
        <item x="331"/>
        <item x="134"/>
        <item x="430"/>
        <item x="342"/>
        <item x="113"/>
        <item x="412"/>
        <item x="230"/>
        <item x="352"/>
        <item x="338"/>
        <item x="215"/>
        <item x="272"/>
        <item x="181"/>
        <item x="278"/>
        <item x="306"/>
        <item x="203"/>
        <item x="70"/>
        <item x="293"/>
        <item x="256"/>
        <item x="382"/>
        <item x="174"/>
        <item x="153"/>
        <item x="371"/>
        <item x="232"/>
        <item x="401"/>
        <item x="67"/>
        <item x="424"/>
        <item x="183"/>
        <item x="420"/>
        <item x="361"/>
        <item x="142"/>
        <item x="151"/>
        <item x="388"/>
        <item x="197"/>
        <item x="160"/>
        <item x="270"/>
        <item x="350"/>
        <item x="63"/>
        <item x="81"/>
        <item x="324"/>
        <item x="423"/>
        <item x="320"/>
        <item x="390"/>
        <item x="397"/>
        <item x="398"/>
        <item x="281"/>
        <item x="165"/>
        <item x="351"/>
        <item x="461"/>
        <item x="290"/>
        <item x="443"/>
        <item x="194"/>
        <item x="346"/>
        <item x="187"/>
        <item x="431"/>
        <item x="444"/>
        <item x="313"/>
        <item x="354"/>
        <item x="258"/>
        <item x="385"/>
        <item x="205"/>
        <item x="422"/>
        <item x="416"/>
        <item x="288"/>
        <item x="279"/>
        <item x="328"/>
        <item x="162"/>
        <item x="458"/>
        <item x="341"/>
        <item x="304"/>
        <item x="386"/>
        <item x="415"/>
        <item x="330"/>
        <item x="438"/>
        <item x="455"/>
        <item x="309"/>
        <item x="259"/>
        <item x="282"/>
        <item x="335"/>
        <item x="435"/>
        <item x="406"/>
        <item x="405"/>
        <item x="297"/>
        <item x="441"/>
        <item x="191"/>
        <item x="247"/>
        <item x="144"/>
        <item x="417"/>
        <item x="453"/>
        <item x="367"/>
        <item x="407"/>
        <item x="318"/>
        <item x="414"/>
        <item x="411"/>
        <item x="446"/>
        <item x="448"/>
        <item x="180"/>
        <item x="467"/>
        <item x="308"/>
        <item x="454"/>
        <item x="464"/>
        <item x="261"/>
        <item x="418"/>
        <item x="445"/>
        <item x="442"/>
        <item x="186"/>
        <item x="264"/>
        <item x="370"/>
        <item x="437"/>
        <item x="456"/>
        <item x="263"/>
        <item x="460"/>
        <item x="248"/>
        <item x="345"/>
        <item x="243"/>
        <item x="449"/>
        <item x="462"/>
        <item x="429"/>
        <item x="413"/>
        <item x="228"/>
        <item x="468"/>
        <item x="336"/>
        <item x="337"/>
        <item x="452"/>
        <item x="339"/>
        <item x="353"/>
        <item x="466"/>
        <item x="216"/>
        <item x="349"/>
        <item x="440"/>
        <item x="254"/>
        <item x="285"/>
        <item x="392"/>
        <item x="326"/>
        <item x="379"/>
        <item x="377"/>
        <item x="296"/>
        <item x="381"/>
        <item x="302"/>
        <item x="273"/>
        <item x="409"/>
        <item x="319"/>
        <item x="408"/>
        <item x="395"/>
        <item x="334"/>
        <item x="347"/>
        <item x="235"/>
        <item x="389"/>
        <item x="314"/>
        <item x="383"/>
        <item x="294"/>
        <item x="450"/>
        <item x="451"/>
        <item x="202"/>
        <item x="315"/>
        <item x="190"/>
        <item x="362"/>
        <item x="275"/>
        <item x="400"/>
        <item x="299"/>
        <item x="268"/>
        <item x="340"/>
        <item x="344"/>
        <item x="433"/>
        <item x="364"/>
        <item x="283"/>
        <item x="333"/>
        <item x="369"/>
        <item x="396"/>
        <item x="463"/>
        <item x="359"/>
        <item t="default"/>
      </items>
    </pivotField>
    <pivotField showAll="0">
      <items count="21">
        <item x="14"/>
        <item x="12"/>
        <item x="8"/>
        <item x="17"/>
        <item x="10"/>
        <item x="16"/>
        <item x="9"/>
        <item x="13"/>
        <item x="5"/>
        <item x="4"/>
        <item x="2"/>
        <item x="1"/>
        <item x="7"/>
        <item x="6"/>
        <item x="3"/>
        <item x="0"/>
        <item x="11"/>
        <item x="15"/>
        <item x="18"/>
        <item x="19"/>
        <item t="default"/>
      </items>
    </pivotField>
    <pivotField showAll="0">
      <items count="4">
        <item x="1"/>
        <item x="0"/>
        <item x="2"/>
        <item t="default"/>
      </items>
    </pivotField>
    <pivotField showAll="0"/>
    <pivotField showAll="0"/>
    <pivotField showAll="0"/>
    <pivotField numFmtId="2"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0"/>
  </rowFields>
  <rowItems count="10">
    <i>
      <x v="284"/>
    </i>
    <i>
      <x v="312"/>
    </i>
    <i>
      <x v="273"/>
    </i>
    <i>
      <x v="94"/>
    </i>
    <i>
      <x v="420"/>
    </i>
    <i>
      <x v="394"/>
    </i>
    <i>
      <x v="227"/>
    </i>
    <i>
      <x v="169"/>
    </i>
    <i>
      <x v="423"/>
    </i>
    <i>
      <x v="37"/>
    </i>
  </rowItems>
  <colItems count="1">
    <i/>
  </colItems>
  <dataFields count="1">
    <dataField name="Subscribers" fld="8" subtotal="average" baseField="0" baseItem="37"/>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AA1B76-FDC6-4293-882D-7B816A80BDD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eration">
  <location ref="A50:B54" firstHeaderRow="1" firstDataRow="1" firstDataCol="1"/>
  <pivotFields count="12">
    <pivotField showAll="0"/>
    <pivotField numFmtId="14" showAll="0">
      <items count="470">
        <item x="52"/>
        <item x="29"/>
        <item x="213"/>
        <item x="184"/>
        <item x="25"/>
        <item x="132"/>
        <item x="53"/>
        <item x="221"/>
        <item x="15"/>
        <item x="35"/>
        <item x="60"/>
        <item x="68"/>
        <item x="269"/>
        <item x="161"/>
        <item x="219"/>
        <item x="109"/>
        <item x="59"/>
        <item x="51"/>
        <item x="121"/>
        <item x="211"/>
        <item x="101"/>
        <item x="17"/>
        <item x="163"/>
        <item x="257"/>
        <item x="212"/>
        <item x="94"/>
        <item x="118"/>
        <item x="85"/>
        <item x="66"/>
        <item x="92"/>
        <item x="78"/>
        <item x="133"/>
        <item x="80"/>
        <item x="96"/>
        <item x="22"/>
        <item x="16"/>
        <item x="234"/>
        <item x="179"/>
        <item x="321"/>
        <item x="196"/>
        <item x="64"/>
        <item x="238"/>
        <item x="149"/>
        <item x="43"/>
        <item x="208"/>
        <item x="102"/>
        <item x="98"/>
        <item x="224"/>
        <item x="62"/>
        <item x="5"/>
        <item x="49"/>
        <item x="18"/>
        <item x="146"/>
        <item x="188"/>
        <item x="145"/>
        <item x="356"/>
        <item x="135"/>
        <item x="93"/>
        <item x="124"/>
        <item x="42"/>
        <item x="311"/>
        <item x="45"/>
        <item x="50"/>
        <item x="37"/>
        <item x="32"/>
        <item x="372"/>
        <item x="14"/>
        <item x="175"/>
        <item x="419"/>
        <item x="316"/>
        <item x="265"/>
        <item x="20"/>
        <item x="71"/>
        <item x="4"/>
        <item x="384"/>
        <item x="46"/>
        <item x="225"/>
        <item x="365"/>
        <item x="21"/>
        <item x="89"/>
        <item x="111"/>
        <item x="13"/>
        <item x="44"/>
        <item x="189"/>
        <item x="36"/>
        <item x="105"/>
        <item x="129"/>
        <item x="214"/>
        <item x="112"/>
        <item x="150"/>
        <item x="55"/>
        <item x="182"/>
        <item x="251"/>
        <item x="291"/>
        <item x="156"/>
        <item x="79"/>
        <item x="173"/>
        <item x="2"/>
        <item x="30"/>
        <item x="193"/>
        <item x="185"/>
        <item x="154"/>
        <item x="300"/>
        <item x="252"/>
        <item x="77"/>
        <item x="119"/>
        <item x="106"/>
        <item x="172"/>
        <item x="276"/>
        <item x="237"/>
        <item x="428"/>
        <item x="122"/>
        <item x="399"/>
        <item x="120"/>
        <item x="355"/>
        <item x="54"/>
        <item x="12"/>
        <item x="274"/>
        <item x="56"/>
        <item x="19"/>
        <item x="376"/>
        <item x="192"/>
        <item x="329"/>
        <item x="33"/>
        <item x="158"/>
        <item x="114"/>
        <item x="10"/>
        <item x="125"/>
        <item x="262"/>
        <item x="360"/>
        <item x="27"/>
        <item x="289"/>
        <item x="61"/>
        <item x="1"/>
        <item x="404"/>
        <item x="200"/>
        <item x="82"/>
        <item x="137"/>
        <item x="176"/>
        <item x="34"/>
        <item x="432"/>
        <item x="168"/>
        <item x="164"/>
        <item x="73"/>
        <item x="217"/>
        <item x="402"/>
        <item x="147"/>
        <item x="115"/>
        <item x="131"/>
        <item x="322"/>
        <item x="83"/>
        <item x="31"/>
        <item x="286"/>
        <item x="97"/>
        <item x="233"/>
        <item x="195"/>
        <item x="287"/>
        <item x="373"/>
        <item x="307"/>
        <item x="9"/>
        <item x="123"/>
        <item x="38"/>
        <item x="227"/>
        <item x="178"/>
        <item x="242"/>
        <item x="374"/>
        <item x="90"/>
        <item x="170"/>
        <item x="148"/>
        <item x="88"/>
        <item x="116"/>
        <item x="11"/>
        <item x="358"/>
        <item x="199"/>
        <item x="421"/>
        <item x="6"/>
        <item x="210"/>
        <item x="100"/>
        <item x="465"/>
        <item x="207"/>
        <item x="226"/>
        <item x="110"/>
        <item x="255"/>
        <item x="343"/>
        <item x="99"/>
        <item x="295"/>
        <item x="136"/>
        <item x="26"/>
        <item x="266"/>
        <item x="323"/>
        <item x="434"/>
        <item x="394"/>
        <item x="204"/>
        <item x="253"/>
        <item x="378"/>
        <item x="368"/>
        <item x="86"/>
        <item x="249"/>
        <item x="209"/>
        <item x="223"/>
        <item x="139"/>
        <item x="104"/>
        <item x="28"/>
        <item x="244"/>
        <item x="40"/>
        <item x="127"/>
        <item x="126"/>
        <item x="138"/>
        <item x="363"/>
        <item x="75"/>
        <item x="155"/>
        <item x="58"/>
        <item x="39"/>
        <item x="7"/>
        <item x="239"/>
        <item x="366"/>
        <item x="3"/>
        <item x="69"/>
        <item x="310"/>
        <item x="130"/>
        <item x="8"/>
        <item x="140"/>
        <item x="231"/>
        <item x="229"/>
        <item x="84"/>
        <item x="103"/>
        <item x="107"/>
        <item x="166"/>
        <item x="201"/>
        <item x="250"/>
        <item x="74"/>
        <item x="391"/>
        <item x="220"/>
        <item x="260"/>
        <item x="439"/>
        <item x="87"/>
        <item x="267"/>
        <item x="128"/>
        <item x="425"/>
        <item x="91"/>
        <item x="117"/>
        <item x="177"/>
        <item x="236"/>
        <item x="198"/>
        <item x="459"/>
        <item x="108"/>
        <item x="47"/>
        <item x="271"/>
        <item x="317"/>
        <item x="357"/>
        <item x="143"/>
        <item x="284"/>
        <item x="57"/>
        <item x="457"/>
        <item x="48"/>
        <item x="0"/>
        <item x="403"/>
        <item x="141"/>
        <item x="305"/>
        <item x="427"/>
        <item x="41"/>
        <item x="159"/>
        <item x="312"/>
        <item x="426"/>
        <item x="393"/>
        <item x="387"/>
        <item x="410"/>
        <item x="325"/>
        <item x="169"/>
        <item x="218"/>
        <item x="303"/>
        <item x="332"/>
        <item x="447"/>
        <item x="280"/>
        <item x="375"/>
        <item x="292"/>
        <item x="65"/>
        <item x="327"/>
        <item x="298"/>
        <item x="24"/>
        <item x="301"/>
        <item x="95"/>
        <item x="277"/>
        <item x="23"/>
        <item x="246"/>
        <item x="167"/>
        <item x="222"/>
        <item x="76"/>
        <item x="171"/>
        <item x="245"/>
        <item x="436"/>
        <item x="152"/>
        <item x="157"/>
        <item x="348"/>
        <item x="241"/>
        <item x="206"/>
        <item x="72"/>
        <item x="240"/>
        <item x="380"/>
        <item x="331"/>
        <item x="134"/>
        <item x="430"/>
        <item x="342"/>
        <item x="113"/>
        <item x="412"/>
        <item x="230"/>
        <item x="352"/>
        <item x="338"/>
        <item x="215"/>
        <item x="272"/>
        <item x="181"/>
        <item x="278"/>
        <item x="306"/>
        <item x="203"/>
        <item x="70"/>
        <item x="293"/>
        <item x="256"/>
        <item x="382"/>
        <item x="174"/>
        <item x="153"/>
        <item x="371"/>
        <item x="232"/>
        <item x="401"/>
        <item x="67"/>
        <item x="424"/>
        <item x="183"/>
        <item x="420"/>
        <item x="361"/>
        <item x="142"/>
        <item x="151"/>
        <item x="388"/>
        <item x="197"/>
        <item x="160"/>
        <item x="270"/>
        <item x="350"/>
        <item x="63"/>
        <item x="81"/>
        <item x="324"/>
        <item x="423"/>
        <item x="320"/>
        <item x="390"/>
        <item x="397"/>
        <item x="398"/>
        <item x="281"/>
        <item x="165"/>
        <item x="351"/>
        <item x="461"/>
        <item x="290"/>
        <item x="443"/>
        <item x="194"/>
        <item x="346"/>
        <item x="187"/>
        <item x="431"/>
        <item x="444"/>
        <item x="313"/>
        <item x="354"/>
        <item x="258"/>
        <item x="385"/>
        <item x="205"/>
        <item x="422"/>
        <item x="416"/>
        <item x="288"/>
        <item x="279"/>
        <item x="328"/>
        <item x="162"/>
        <item x="458"/>
        <item x="341"/>
        <item x="304"/>
        <item x="386"/>
        <item x="415"/>
        <item x="330"/>
        <item x="438"/>
        <item x="455"/>
        <item x="309"/>
        <item x="259"/>
        <item x="282"/>
        <item x="335"/>
        <item x="435"/>
        <item x="406"/>
        <item x="405"/>
        <item x="297"/>
        <item x="441"/>
        <item x="191"/>
        <item x="247"/>
        <item x="144"/>
        <item x="417"/>
        <item x="453"/>
        <item x="367"/>
        <item x="407"/>
        <item x="318"/>
        <item x="414"/>
        <item x="411"/>
        <item x="446"/>
        <item x="448"/>
        <item x="180"/>
        <item x="467"/>
        <item x="308"/>
        <item x="454"/>
        <item x="464"/>
        <item x="261"/>
        <item x="418"/>
        <item x="445"/>
        <item x="442"/>
        <item x="186"/>
        <item x="264"/>
        <item x="370"/>
        <item x="437"/>
        <item x="456"/>
        <item x="263"/>
        <item x="460"/>
        <item x="248"/>
        <item x="345"/>
        <item x="243"/>
        <item x="449"/>
        <item x="462"/>
        <item x="429"/>
        <item x="413"/>
        <item x="228"/>
        <item x="468"/>
        <item x="336"/>
        <item x="337"/>
        <item x="452"/>
        <item x="339"/>
        <item x="353"/>
        <item x="466"/>
        <item x="216"/>
        <item x="349"/>
        <item x="440"/>
        <item x="254"/>
        <item x="285"/>
        <item x="392"/>
        <item x="326"/>
        <item x="379"/>
        <item x="377"/>
        <item x="296"/>
        <item x="381"/>
        <item x="302"/>
        <item x="273"/>
        <item x="409"/>
        <item x="319"/>
        <item x="408"/>
        <item x="395"/>
        <item x="334"/>
        <item x="347"/>
        <item x="235"/>
        <item x="389"/>
        <item x="314"/>
        <item x="383"/>
        <item x="294"/>
        <item x="450"/>
        <item x="451"/>
        <item x="202"/>
        <item x="315"/>
        <item x="190"/>
        <item x="362"/>
        <item x="275"/>
        <item x="400"/>
        <item x="299"/>
        <item x="268"/>
        <item x="340"/>
        <item x="344"/>
        <item x="433"/>
        <item x="364"/>
        <item x="283"/>
        <item x="333"/>
        <item x="369"/>
        <item x="396"/>
        <item x="463"/>
        <item x="359"/>
        <item t="default"/>
      </items>
    </pivotField>
    <pivotField showAll="0">
      <items count="21">
        <item x="14"/>
        <item x="12"/>
        <item x="8"/>
        <item x="17"/>
        <item x="10"/>
        <item x="16"/>
        <item x="9"/>
        <item x="13"/>
        <item x="5"/>
        <item x="4"/>
        <item x="2"/>
        <item x="1"/>
        <item x="7"/>
        <item x="6"/>
        <item x="3"/>
        <item x="0"/>
        <item x="11"/>
        <item x="15"/>
        <item x="18"/>
        <item x="19"/>
        <item t="default"/>
      </items>
    </pivotField>
    <pivotField axis="axisRow" showAll="0">
      <items count="4">
        <item x="1"/>
        <item x="0"/>
        <item x="2"/>
        <item t="default"/>
      </items>
    </pivotField>
    <pivotField showAll="0"/>
    <pivotField dataField="1"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4">
    <i>
      <x/>
    </i>
    <i>
      <x v="1"/>
    </i>
    <i>
      <x v="2"/>
    </i>
    <i t="grand">
      <x/>
    </i>
  </rowItems>
  <colItems count="1">
    <i/>
  </colItems>
  <dataFields count="1">
    <dataField name=" View count" fld="5" subtotal="average" baseField="3"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E2AE7F-462C-4285-80EC-F20295EF8EA3}"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Generation">
  <location ref="A37:B40" firstHeaderRow="1" firstDataRow="1" firstDataCol="1"/>
  <pivotFields count="12">
    <pivotField showAll="0"/>
    <pivotField numFmtId="14" showAll="0">
      <items count="470">
        <item x="52"/>
        <item x="29"/>
        <item x="213"/>
        <item x="184"/>
        <item x="25"/>
        <item x="132"/>
        <item x="53"/>
        <item x="221"/>
        <item x="15"/>
        <item x="35"/>
        <item x="60"/>
        <item x="68"/>
        <item x="269"/>
        <item x="161"/>
        <item x="219"/>
        <item x="109"/>
        <item x="59"/>
        <item x="51"/>
        <item x="121"/>
        <item x="211"/>
        <item x="101"/>
        <item x="17"/>
        <item x="163"/>
        <item x="257"/>
        <item x="212"/>
        <item x="94"/>
        <item x="118"/>
        <item x="85"/>
        <item x="66"/>
        <item x="92"/>
        <item x="78"/>
        <item x="133"/>
        <item x="80"/>
        <item x="96"/>
        <item x="22"/>
        <item x="16"/>
        <item x="234"/>
        <item x="179"/>
        <item x="321"/>
        <item x="196"/>
        <item x="64"/>
        <item x="238"/>
        <item x="149"/>
        <item x="43"/>
        <item x="208"/>
        <item x="102"/>
        <item x="98"/>
        <item x="224"/>
        <item x="62"/>
        <item x="5"/>
        <item x="49"/>
        <item x="18"/>
        <item x="146"/>
        <item x="188"/>
        <item x="145"/>
        <item x="356"/>
        <item x="135"/>
        <item x="93"/>
        <item x="124"/>
        <item x="42"/>
        <item x="311"/>
        <item x="45"/>
        <item x="50"/>
        <item x="37"/>
        <item x="32"/>
        <item x="372"/>
        <item x="14"/>
        <item x="175"/>
        <item x="419"/>
        <item x="316"/>
        <item x="265"/>
        <item x="20"/>
        <item x="71"/>
        <item x="4"/>
        <item x="384"/>
        <item x="46"/>
        <item x="225"/>
        <item x="365"/>
        <item x="21"/>
        <item x="89"/>
        <item x="111"/>
        <item x="13"/>
        <item x="44"/>
        <item x="189"/>
        <item x="36"/>
        <item x="105"/>
        <item x="129"/>
        <item x="214"/>
        <item x="112"/>
        <item x="150"/>
        <item x="55"/>
        <item x="182"/>
        <item x="251"/>
        <item x="291"/>
        <item x="156"/>
        <item x="79"/>
        <item x="173"/>
        <item x="2"/>
        <item x="30"/>
        <item x="193"/>
        <item x="185"/>
        <item x="154"/>
        <item x="300"/>
        <item x="252"/>
        <item x="77"/>
        <item x="119"/>
        <item x="106"/>
        <item x="172"/>
        <item x="276"/>
        <item x="237"/>
        <item x="428"/>
        <item x="122"/>
        <item x="399"/>
        <item x="120"/>
        <item x="355"/>
        <item x="54"/>
        <item x="12"/>
        <item x="274"/>
        <item x="56"/>
        <item x="19"/>
        <item x="376"/>
        <item x="192"/>
        <item x="329"/>
        <item x="33"/>
        <item x="158"/>
        <item x="114"/>
        <item x="10"/>
        <item x="125"/>
        <item x="262"/>
        <item x="360"/>
        <item x="27"/>
        <item x="289"/>
        <item x="61"/>
        <item x="1"/>
        <item x="404"/>
        <item x="200"/>
        <item x="82"/>
        <item x="137"/>
        <item x="176"/>
        <item x="34"/>
        <item x="432"/>
        <item x="168"/>
        <item x="164"/>
        <item x="73"/>
        <item x="217"/>
        <item x="402"/>
        <item x="147"/>
        <item x="115"/>
        <item x="131"/>
        <item x="322"/>
        <item x="83"/>
        <item x="31"/>
        <item x="286"/>
        <item x="97"/>
        <item x="233"/>
        <item x="195"/>
        <item x="287"/>
        <item x="373"/>
        <item x="307"/>
        <item x="9"/>
        <item x="123"/>
        <item x="38"/>
        <item x="227"/>
        <item x="178"/>
        <item x="242"/>
        <item x="374"/>
        <item x="90"/>
        <item x="170"/>
        <item x="148"/>
        <item x="88"/>
        <item x="116"/>
        <item x="11"/>
        <item x="358"/>
        <item x="199"/>
        <item x="421"/>
        <item x="6"/>
        <item x="210"/>
        <item x="100"/>
        <item x="465"/>
        <item x="207"/>
        <item x="226"/>
        <item x="110"/>
        <item x="255"/>
        <item x="343"/>
        <item x="99"/>
        <item x="295"/>
        <item x="136"/>
        <item x="26"/>
        <item x="266"/>
        <item x="323"/>
        <item x="434"/>
        <item x="394"/>
        <item x="204"/>
        <item x="253"/>
        <item x="378"/>
        <item x="368"/>
        <item x="86"/>
        <item x="249"/>
        <item x="209"/>
        <item x="223"/>
        <item x="139"/>
        <item x="104"/>
        <item x="28"/>
        <item x="244"/>
        <item x="40"/>
        <item x="127"/>
        <item x="126"/>
        <item x="138"/>
        <item x="363"/>
        <item x="75"/>
        <item x="155"/>
        <item x="58"/>
        <item x="39"/>
        <item x="7"/>
        <item x="239"/>
        <item x="366"/>
        <item x="3"/>
        <item x="69"/>
        <item x="310"/>
        <item x="130"/>
        <item x="8"/>
        <item x="140"/>
        <item x="231"/>
        <item x="229"/>
        <item x="84"/>
        <item x="103"/>
        <item x="107"/>
        <item x="166"/>
        <item x="201"/>
        <item x="250"/>
        <item x="74"/>
        <item x="391"/>
        <item x="220"/>
        <item x="260"/>
        <item x="439"/>
        <item x="87"/>
        <item x="267"/>
        <item x="128"/>
        <item x="425"/>
        <item x="91"/>
        <item x="117"/>
        <item x="177"/>
        <item x="236"/>
        <item x="198"/>
        <item x="459"/>
        <item x="108"/>
        <item x="47"/>
        <item x="271"/>
        <item x="317"/>
        <item x="357"/>
        <item x="143"/>
        <item x="284"/>
        <item x="57"/>
        <item x="457"/>
        <item x="48"/>
        <item x="0"/>
        <item x="403"/>
        <item x="141"/>
        <item x="305"/>
        <item x="427"/>
        <item x="41"/>
        <item x="159"/>
        <item x="312"/>
        <item x="426"/>
        <item x="393"/>
        <item x="387"/>
        <item x="410"/>
        <item x="325"/>
        <item x="169"/>
        <item x="218"/>
        <item x="303"/>
        <item x="332"/>
        <item x="447"/>
        <item x="280"/>
        <item x="375"/>
        <item x="292"/>
        <item x="65"/>
        <item x="327"/>
        <item x="298"/>
        <item x="24"/>
        <item x="301"/>
        <item x="95"/>
        <item x="277"/>
        <item x="23"/>
        <item x="246"/>
        <item x="167"/>
        <item x="222"/>
        <item x="76"/>
        <item x="171"/>
        <item x="245"/>
        <item x="436"/>
        <item x="152"/>
        <item x="157"/>
        <item x="348"/>
        <item x="241"/>
        <item x="206"/>
        <item x="72"/>
        <item x="240"/>
        <item x="380"/>
        <item x="331"/>
        <item x="134"/>
        <item x="430"/>
        <item x="342"/>
        <item x="113"/>
        <item x="412"/>
        <item x="230"/>
        <item x="352"/>
        <item x="338"/>
        <item x="215"/>
        <item x="272"/>
        <item x="181"/>
        <item x="278"/>
        <item x="306"/>
        <item x="203"/>
        <item x="70"/>
        <item x="293"/>
        <item x="256"/>
        <item x="382"/>
        <item x="174"/>
        <item x="153"/>
        <item x="371"/>
        <item x="232"/>
        <item x="401"/>
        <item x="67"/>
        <item x="424"/>
        <item x="183"/>
        <item x="420"/>
        <item x="361"/>
        <item x="142"/>
        <item x="151"/>
        <item x="388"/>
        <item x="197"/>
        <item x="160"/>
        <item x="270"/>
        <item x="350"/>
        <item x="63"/>
        <item x="81"/>
        <item x="324"/>
        <item x="423"/>
        <item x="320"/>
        <item x="390"/>
        <item x="397"/>
        <item x="398"/>
        <item x="281"/>
        <item x="165"/>
        <item x="351"/>
        <item x="461"/>
        <item x="290"/>
        <item x="443"/>
        <item x="194"/>
        <item x="346"/>
        <item x="187"/>
        <item x="431"/>
        <item x="444"/>
        <item x="313"/>
        <item x="354"/>
        <item x="258"/>
        <item x="385"/>
        <item x="205"/>
        <item x="422"/>
        <item x="416"/>
        <item x="288"/>
        <item x="279"/>
        <item x="328"/>
        <item x="162"/>
        <item x="458"/>
        <item x="341"/>
        <item x="304"/>
        <item x="386"/>
        <item x="415"/>
        <item x="330"/>
        <item x="438"/>
        <item x="455"/>
        <item x="309"/>
        <item x="259"/>
        <item x="282"/>
        <item x="335"/>
        <item x="435"/>
        <item x="406"/>
        <item x="405"/>
        <item x="297"/>
        <item x="441"/>
        <item x="191"/>
        <item x="247"/>
        <item x="144"/>
        <item x="417"/>
        <item x="453"/>
        <item x="367"/>
        <item x="407"/>
        <item x="318"/>
        <item x="414"/>
        <item x="411"/>
        <item x="446"/>
        <item x="448"/>
        <item x="180"/>
        <item x="467"/>
        <item x="308"/>
        <item x="454"/>
        <item x="464"/>
        <item x="261"/>
        <item x="418"/>
        <item x="445"/>
        <item x="442"/>
        <item x="186"/>
        <item x="264"/>
        <item x="370"/>
        <item x="437"/>
        <item x="456"/>
        <item x="263"/>
        <item x="460"/>
        <item x="248"/>
        <item x="345"/>
        <item x="243"/>
        <item x="449"/>
        <item x="462"/>
        <item x="429"/>
        <item x="413"/>
        <item x="228"/>
        <item x="468"/>
        <item x="336"/>
        <item x="337"/>
        <item x="452"/>
        <item x="339"/>
        <item x="353"/>
        <item x="466"/>
        <item x="216"/>
        <item x="349"/>
        <item x="440"/>
        <item x="254"/>
        <item x="285"/>
        <item x="392"/>
        <item x="326"/>
        <item x="379"/>
        <item x="377"/>
        <item x="296"/>
        <item x="381"/>
        <item x="302"/>
        <item x="273"/>
        <item x="409"/>
        <item x="319"/>
        <item x="408"/>
        <item x="395"/>
        <item x="334"/>
        <item x="347"/>
        <item x="235"/>
        <item x="389"/>
        <item x="314"/>
        <item x="383"/>
        <item x="294"/>
        <item x="450"/>
        <item x="451"/>
        <item x="202"/>
        <item x="315"/>
        <item x="190"/>
        <item x="362"/>
        <item x="275"/>
        <item x="400"/>
        <item x="299"/>
        <item x="268"/>
        <item x="340"/>
        <item x="344"/>
        <item x="433"/>
        <item x="364"/>
        <item x="283"/>
        <item x="333"/>
        <item x="369"/>
        <item x="396"/>
        <item x="463"/>
        <item x="359"/>
        <item t="default"/>
      </items>
    </pivotField>
    <pivotField showAll="0">
      <items count="21">
        <item x="14"/>
        <item x="12"/>
        <item x="8"/>
        <item x="17"/>
        <item x="10"/>
        <item x="16"/>
        <item x="9"/>
        <item x="13"/>
        <item x="5"/>
        <item x="4"/>
        <item x="2"/>
        <item x="1"/>
        <item x="7"/>
        <item x="6"/>
        <item x="3"/>
        <item x="0"/>
        <item x="11"/>
        <item x="15"/>
        <item x="18"/>
        <item x="19"/>
        <item t="default"/>
      </items>
    </pivotField>
    <pivotField axis="axisRow" showAll="0">
      <items count="4">
        <item x="1"/>
        <item x="0"/>
        <item x="2"/>
        <item t="default"/>
      </items>
    </pivotField>
    <pivotField showAll="0"/>
    <pivotField showAll="0"/>
    <pivotField showAll="0"/>
    <pivotField numFmtId="2"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3">
    <i>
      <x/>
    </i>
    <i>
      <x v="1"/>
    </i>
    <i>
      <x v="2"/>
    </i>
  </rowItems>
  <colItems count="1">
    <i/>
  </colItems>
  <dataFields count="1">
    <dataField name="Subscriber Count" fld="8" subtotal="average" baseField="3" baseItem="0"/>
  </dataFields>
  <formats count="1">
    <format dxfId="45">
      <pivotArea collapsedLevelsAreSubtotals="1" fieldPosition="0">
        <references count="1">
          <reference field="3" count="0"/>
        </references>
      </pivotArea>
    </format>
  </formats>
  <chartFormats count="2">
    <chartFormat chart="4"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295FC5-3B56-4E56-BAC2-673FCEAA92DB}"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Channels">
  <location ref="A96:B106" firstHeaderRow="1" firstDataRow="1" firstDataCol="1"/>
  <pivotFields count="12">
    <pivotField axis="axisRow" showAll="0" measureFilter="1" sortType="ascending">
      <items count="490">
        <item x="34"/>
        <item x="110"/>
        <item x="159"/>
        <item x="234"/>
        <item x="182"/>
        <item x="231"/>
        <item x="1"/>
        <item x="486"/>
        <item x="104"/>
        <item x="121"/>
        <item x="428"/>
        <item x="225"/>
        <item x="257"/>
        <item x="221"/>
        <item x="201"/>
        <item x="443"/>
        <item x="312"/>
        <item x="390"/>
        <item x="207"/>
        <item x="351"/>
        <item x="278"/>
        <item x="291"/>
        <item x="268"/>
        <item x="238"/>
        <item x="406"/>
        <item x="136"/>
        <item x="152"/>
        <item x="402"/>
        <item x="131"/>
        <item x="102"/>
        <item x="150"/>
        <item x="285"/>
        <item x="127"/>
        <item x="13"/>
        <item x="286"/>
        <item x="252"/>
        <item x="236"/>
        <item x="4"/>
        <item x="83"/>
        <item x="44"/>
        <item x="33"/>
        <item x="103"/>
        <item x="175"/>
        <item x="184"/>
        <item x="448"/>
        <item x="296"/>
        <item x="248"/>
        <item x="94"/>
        <item x="258"/>
        <item x="346"/>
        <item x="294"/>
        <item x="181"/>
        <item x="148"/>
        <item x="60"/>
        <item x="38"/>
        <item x="16"/>
        <item x="48"/>
        <item x="77"/>
        <item x="199"/>
        <item x="472"/>
        <item x="261"/>
        <item x="65"/>
        <item x="56"/>
        <item x="59"/>
        <item x="459"/>
        <item x="313"/>
        <item x="177"/>
        <item x="132"/>
        <item x="15"/>
        <item x="170"/>
        <item x="280"/>
        <item x="316"/>
        <item x="469"/>
        <item x="233"/>
        <item x="433"/>
        <item x="276"/>
        <item x="422"/>
        <item x="295"/>
        <item x="222"/>
        <item x="200"/>
        <item x="343"/>
        <item x="215"/>
        <item x="265"/>
        <item x="109"/>
        <item x="96"/>
        <item x="300"/>
        <item x="292"/>
        <item x="191"/>
        <item x="119"/>
        <item x="362"/>
        <item x="208"/>
        <item x="124"/>
        <item x="219"/>
        <item x="23"/>
        <item x="123"/>
        <item x="149"/>
        <item x="151"/>
        <item x="30"/>
        <item x="31"/>
        <item x="133"/>
        <item x="194"/>
        <item x="371"/>
        <item x="290"/>
        <item x="353"/>
        <item x="399"/>
        <item x="465"/>
        <item x="461"/>
        <item x="101"/>
        <item x="161"/>
        <item x="130"/>
        <item x="190"/>
        <item x="99"/>
        <item x="21"/>
        <item x="76"/>
        <item x="397"/>
        <item x="449"/>
        <item x="355"/>
        <item x="162"/>
        <item x="395"/>
        <item x="88"/>
        <item x="425"/>
        <item x="183"/>
        <item x="370"/>
        <item x="45"/>
        <item x="360"/>
        <item x="147"/>
        <item x="46"/>
        <item x="41"/>
        <item x="310"/>
        <item x="137"/>
        <item x="235"/>
        <item x="255"/>
        <item x="340"/>
        <item x="420"/>
        <item x="154"/>
        <item x="254"/>
        <item x="442"/>
        <item x="144"/>
        <item x="68"/>
        <item x="468"/>
        <item x="288"/>
        <item x="336"/>
        <item x="277"/>
        <item x="263"/>
        <item x="167"/>
        <item x="169"/>
        <item x="57"/>
        <item x="93"/>
        <item x="211"/>
        <item x="407"/>
        <item x="117"/>
        <item x="139"/>
        <item x="317"/>
        <item x="95"/>
        <item x="232"/>
        <item x="227"/>
        <item x="82"/>
        <item x="474"/>
        <item x="471"/>
        <item x="29"/>
        <item x="289"/>
        <item x="100"/>
        <item x="452"/>
        <item x="467"/>
        <item x="382"/>
        <item x="163"/>
        <item x="228"/>
        <item x="401"/>
        <item x="7"/>
        <item x="26"/>
        <item x="283"/>
        <item x="274"/>
        <item x="439"/>
        <item x="333"/>
        <item x="138"/>
        <item x="301"/>
        <item x="272"/>
        <item x="142"/>
        <item x="70"/>
        <item x="106"/>
        <item x="71"/>
        <item x="239"/>
        <item x="91"/>
        <item x="87"/>
        <item x="107"/>
        <item x="348"/>
        <item x="444"/>
        <item x="229"/>
        <item x="86"/>
        <item x="108"/>
        <item x="273"/>
        <item x="250"/>
        <item x="464"/>
        <item x="322"/>
        <item x="69"/>
        <item x="282"/>
        <item x="202"/>
        <item x="180"/>
        <item x="51"/>
        <item x="198"/>
        <item x="105"/>
        <item x="145"/>
        <item x="458"/>
        <item x="85"/>
        <item x="388"/>
        <item x="210"/>
        <item x="434"/>
        <item x="172"/>
        <item x="460"/>
        <item x="259"/>
        <item x="197"/>
        <item x="11"/>
        <item x="188"/>
        <item x="331"/>
        <item x="332"/>
        <item x="414"/>
        <item x="212"/>
        <item x="97"/>
        <item x="457"/>
        <item x="275"/>
        <item x="192"/>
        <item x="447"/>
        <item x="114"/>
        <item x="424"/>
        <item x="204"/>
        <item x="479"/>
        <item x="389"/>
        <item x="78"/>
        <item x="246"/>
        <item x="393"/>
        <item x="205"/>
        <item x="89"/>
        <item x="293"/>
        <item x="249"/>
        <item x="84"/>
        <item x="143"/>
        <item x="345"/>
        <item x="384"/>
        <item x="90"/>
        <item x="306"/>
        <item x="334"/>
        <item x="186"/>
        <item x="432"/>
        <item x="43"/>
        <item x="269"/>
        <item x="6"/>
        <item x="327"/>
        <item x="216"/>
        <item x="203"/>
        <item x="74"/>
        <item x="72"/>
        <item x="165"/>
        <item x="92"/>
        <item x="251"/>
        <item x="335"/>
        <item x="120"/>
        <item x="256"/>
        <item x="483"/>
        <item x="244"/>
        <item x="36"/>
        <item x="241"/>
        <item x="413"/>
        <item x="24"/>
        <item x="111"/>
        <item x="179"/>
        <item x="158"/>
        <item x="12"/>
        <item x="75"/>
        <item x="115"/>
        <item x="112"/>
        <item x="64"/>
        <item x="42"/>
        <item x="9"/>
        <item x="2"/>
        <item x="10"/>
        <item x="342"/>
        <item x="185"/>
        <item x="419"/>
        <item x="349"/>
        <item x="341"/>
        <item x="367"/>
        <item x="446"/>
        <item x="385"/>
        <item x="213"/>
        <item x="153"/>
        <item x="361"/>
        <item x="260"/>
        <item x="47"/>
        <item x="462"/>
        <item x="418"/>
        <item x="189"/>
        <item x="80"/>
        <item x="237"/>
        <item x="339"/>
        <item x="176"/>
        <item x="369"/>
        <item x="387"/>
        <item x="480"/>
        <item x="485"/>
        <item x="304"/>
        <item x="178"/>
        <item x="193"/>
        <item x="403"/>
        <item x="247"/>
        <item x="476"/>
        <item x="437"/>
        <item x="409"/>
        <item x="307"/>
        <item x="328"/>
        <item x="423"/>
        <item x="129"/>
        <item x="226"/>
        <item x="39"/>
        <item x="141"/>
        <item x="298"/>
        <item x="417"/>
        <item x="308"/>
        <item x="412"/>
        <item x="440"/>
        <item x="427"/>
        <item x="3"/>
        <item x="155"/>
        <item x="55"/>
        <item x="383"/>
        <item x="435"/>
        <item x="381"/>
        <item x="73"/>
        <item x="481"/>
        <item x="456"/>
        <item x="478"/>
        <item x="372"/>
        <item x="125"/>
        <item x="297"/>
        <item x="81"/>
        <item x="358"/>
        <item x="430"/>
        <item x="376"/>
        <item x="344"/>
        <item x="323"/>
        <item x="113"/>
        <item x="466"/>
        <item x="262"/>
        <item x="318"/>
        <item x="488"/>
        <item x="411"/>
        <item x="264"/>
        <item x="455"/>
        <item x="482"/>
        <item x="484"/>
        <item x="398"/>
        <item x="363"/>
        <item x="463"/>
        <item x="359"/>
        <item x="475"/>
        <item x="347"/>
        <item x="366"/>
        <item x="364"/>
        <item x="378"/>
        <item x="245"/>
        <item x="67"/>
        <item x="438"/>
        <item x="356"/>
        <item x="391"/>
        <item x="20"/>
        <item x="242"/>
        <item x="49"/>
        <item x="441"/>
        <item x="98"/>
        <item x="454"/>
        <item x="35"/>
        <item x="377"/>
        <item x="321"/>
        <item x="315"/>
        <item x="206"/>
        <item x="410"/>
        <item x="299"/>
        <item x="196"/>
        <item x="350"/>
        <item x="325"/>
        <item x="352"/>
        <item x="224"/>
        <item x="314"/>
        <item x="338"/>
        <item x="380"/>
        <item x="392"/>
        <item x="386"/>
        <item x="445"/>
        <item x="394"/>
        <item x="319"/>
        <item x="217"/>
        <item x="337"/>
        <item x="8"/>
        <item x="396"/>
        <item x="61"/>
        <item x="54"/>
        <item x="240"/>
        <item x="243"/>
        <item x="453"/>
        <item x="329"/>
        <item x="166"/>
        <item x="28"/>
        <item x="0"/>
        <item x="160"/>
        <item x="52"/>
        <item x="487"/>
        <item x="326"/>
        <item x="281"/>
        <item x="214"/>
        <item x="118"/>
        <item x="128"/>
        <item x="311"/>
        <item x="279"/>
        <item x="374"/>
        <item x="373"/>
        <item x="253"/>
        <item x="116"/>
        <item x="408"/>
        <item x="302"/>
        <item x="436"/>
        <item x="223"/>
        <item x="5"/>
        <item x="32"/>
        <item x="27"/>
        <item x="18"/>
        <item x="37"/>
        <item x="66"/>
        <item x="287"/>
        <item x="368"/>
        <item x="168"/>
        <item x="303"/>
        <item x="266"/>
        <item x="365"/>
        <item x="25"/>
        <item x="79"/>
        <item x="19"/>
        <item x="187"/>
        <item x="126"/>
        <item x="357"/>
        <item x="284"/>
        <item x="157"/>
        <item x="271"/>
        <item x="470"/>
        <item x="305"/>
        <item x="416"/>
        <item x="220"/>
        <item x="50"/>
        <item x="379"/>
        <item x="404"/>
        <item x="354"/>
        <item x="17"/>
        <item x="53"/>
        <item x="146"/>
        <item x="62"/>
        <item x="40"/>
        <item x="195"/>
        <item x="230"/>
        <item x="171"/>
        <item x="477"/>
        <item x="375"/>
        <item x="451"/>
        <item x="134"/>
        <item x="324"/>
        <item x="174"/>
        <item x="63"/>
        <item x="173"/>
        <item x="431"/>
        <item x="58"/>
        <item x="218"/>
        <item x="309"/>
        <item x="122"/>
        <item x="415"/>
        <item x="473"/>
        <item x="426"/>
        <item x="164"/>
        <item x="450"/>
        <item x="14"/>
        <item x="330"/>
        <item x="267"/>
        <item x="320"/>
        <item x="421"/>
        <item x="400"/>
        <item x="140"/>
        <item x="22"/>
        <item x="135"/>
        <item x="270"/>
        <item x="429"/>
        <item x="405"/>
        <item x="156"/>
        <item x="209"/>
        <item t="default"/>
      </items>
      <autoSortScope>
        <pivotArea dataOnly="0" outline="0" fieldPosition="0">
          <references count="1">
            <reference field="4294967294" count="1" selected="0">
              <x v="0"/>
            </reference>
          </references>
        </pivotArea>
      </autoSortScope>
    </pivotField>
    <pivotField numFmtId="14" showAll="0">
      <items count="470">
        <item x="52"/>
        <item x="29"/>
        <item x="213"/>
        <item x="184"/>
        <item x="25"/>
        <item x="132"/>
        <item x="53"/>
        <item x="221"/>
        <item x="15"/>
        <item x="35"/>
        <item x="60"/>
        <item x="68"/>
        <item x="269"/>
        <item x="161"/>
        <item x="219"/>
        <item x="109"/>
        <item x="59"/>
        <item x="51"/>
        <item x="121"/>
        <item x="211"/>
        <item x="101"/>
        <item x="17"/>
        <item x="163"/>
        <item x="257"/>
        <item x="212"/>
        <item x="94"/>
        <item x="118"/>
        <item x="85"/>
        <item x="66"/>
        <item x="92"/>
        <item x="78"/>
        <item x="133"/>
        <item x="80"/>
        <item x="96"/>
        <item x="22"/>
        <item x="16"/>
        <item x="234"/>
        <item x="179"/>
        <item x="321"/>
        <item x="196"/>
        <item x="64"/>
        <item x="238"/>
        <item x="149"/>
        <item x="43"/>
        <item x="208"/>
        <item x="102"/>
        <item x="98"/>
        <item x="224"/>
        <item x="62"/>
        <item x="5"/>
        <item x="49"/>
        <item x="18"/>
        <item x="146"/>
        <item x="188"/>
        <item x="145"/>
        <item x="356"/>
        <item x="135"/>
        <item x="93"/>
        <item x="124"/>
        <item x="42"/>
        <item x="311"/>
        <item x="45"/>
        <item x="50"/>
        <item x="37"/>
        <item x="32"/>
        <item x="372"/>
        <item x="14"/>
        <item x="175"/>
        <item x="419"/>
        <item x="316"/>
        <item x="265"/>
        <item x="20"/>
        <item x="71"/>
        <item x="4"/>
        <item x="384"/>
        <item x="46"/>
        <item x="225"/>
        <item x="365"/>
        <item x="21"/>
        <item x="89"/>
        <item x="111"/>
        <item x="13"/>
        <item x="44"/>
        <item x="189"/>
        <item x="36"/>
        <item x="105"/>
        <item x="129"/>
        <item x="214"/>
        <item x="112"/>
        <item x="150"/>
        <item x="55"/>
        <item x="182"/>
        <item x="251"/>
        <item x="291"/>
        <item x="156"/>
        <item x="79"/>
        <item x="173"/>
        <item x="2"/>
        <item x="30"/>
        <item x="193"/>
        <item x="185"/>
        <item x="154"/>
        <item x="300"/>
        <item x="252"/>
        <item x="77"/>
        <item x="119"/>
        <item x="106"/>
        <item x="172"/>
        <item x="276"/>
        <item x="237"/>
        <item x="428"/>
        <item x="122"/>
        <item x="399"/>
        <item x="120"/>
        <item x="355"/>
        <item x="54"/>
        <item x="12"/>
        <item x="274"/>
        <item x="56"/>
        <item x="19"/>
        <item x="376"/>
        <item x="192"/>
        <item x="329"/>
        <item x="33"/>
        <item x="158"/>
        <item x="114"/>
        <item x="10"/>
        <item x="125"/>
        <item x="262"/>
        <item x="360"/>
        <item x="27"/>
        <item x="289"/>
        <item x="61"/>
        <item x="1"/>
        <item x="404"/>
        <item x="200"/>
        <item x="82"/>
        <item x="137"/>
        <item x="176"/>
        <item x="34"/>
        <item x="432"/>
        <item x="168"/>
        <item x="164"/>
        <item x="73"/>
        <item x="217"/>
        <item x="402"/>
        <item x="147"/>
        <item x="115"/>
        <item x="131"/>
        <item x="322"/>
        <item x="83"/>
        <item x="31"/>
        <item x="286"/>
        <item x="97"/>
        <item x="233"/>
        <item x="195"/>
        <item x="287"/>
        <item x="373"/>
        <item x="307"/>
        <item x="9"/>
        <item x="123"/>
        <item x="38"/>
        <item x="227"/>
        <item x="178"/>
        <item x="242"/>
        <item x="374"/>
        <item x="90"/>
        <item x="170"/>
        <item x="148"/>
        <item x="88"/>
        <item x="116"/>
        <item x="11"/>
        <item x="358"/>
        <item x="199"/>
        <item x="421"/>
        <item x="6"/>
        <item x="210"/>
        <item x="100"/>
        <item x="465"/>
        <item x="207"/>
        <item x="226"/>
        <item x="110"/>
        <item x="255"/>
        <item x="343"/>
        <item x="99"/>
        <item x="295"/>
        <item x="136"/>
        <item x="26"/>
        <item x="266"/>
        <item x="323"/>
        <item x="434"/>
        <item x="394"/>
        <item x="204"/>
        <item x="253"/>
        <item x="378"/>
        <item x="368"/>
        <item x="86"/>
        <item x="249"/>
        <item x="209"/>
        <item x="223"/>
        <item x="139"/>
        <item x="104"/>
        <item x="28"/>
        <item x="244"/>
        <item x="40"/>
        <item x="127"/>
        <item x="126"/>
        <item x="138"/>
        <item x="363"/>
        <item x="75"/>
        <item x="155"/>
        <item x="58"/>
        <item x="39"/>
        <item x="7"/>
        <item x="239"/>
        <item x="366"/>
        <item x="3"/>
        <item x="69"/>
        <item x="310"/>
        <item x="130"/>
        <item x="8"/>
        <item x="140"/>
        <item x="231"/>
        <item x="229"/>
        <item x="84"/>
        <item x="103"/>
        <item x="107"/>
        <item x="166"/>
        <item x="201"/>
        <item x="250"/>
        <item x="74"/>
        <item x="391"/>
        <item x="220"/>
        <item x="260"/>
        <item x="439"/>
        <item x="87"/>
        <item x="267"/>
        <item x="128"/>
        <item x="425"/>
        <item x="91"/>
        <item x="117"/>
        <item x="177"/>
        <item x="236"/>
        <item x="198"/>
        <item x="459"/>
        <item x="108"/>
        <item x="47"/>
        <item x="271"/>
        <item x="317"/>
        <item x="357"/>
        <item x="143"/>
        <item x="284"/>
        <item x="57"/>
        <item x="457"/>
        <item x="48"/>
        <item x="0"/>
        <item x="403"/>
        <item x="141"/>
        <item x="305"/>
        <item x="427"/>
        <item x="41"/>
        <item x="159"/>
        <item x="312"/>
        <item x="426"/>
        <item x="393"/>
        <item x="387"/>
        <item x="410"/>
        <item x="325"/>
        <item x="169"/>
        <item x="218"/>
        <item x="303"/>
        <item x="332"/>
        <item x="447"/>
        <item x="280"/>
        <item x="375"/>
        <item x="292"/>
        <item x="65"/>
        <item x="327"/>
        <item x="298"/>
        <item x="24"/>
        <item x="301"/>
        <item x="95"/>
        <item x="277"/>
        <item x="23"/>
        <item x="246"/>
        <item x="167"/>
        <item x="222"/>
        <item x="76"/>
        <item x="171"/>
        <item x="245"/>
        <item x="436"/>
        <item x="152"/>
        <item x="157"/>
        <item x="348"/>
        <item x="241"/>
        <item x="206"/>
        <item x="72"/>
        <item x="240"/>
        <item x="380"/>
        <item x="331"/>
        <item x="134"/>
        <item x="430"/>
        <item x="342"/>
        <item x="113"/>
        <item x="412"/>
        <item x="230"/>
        <item x="352"/>
        <item x="338"/>
        <item x="215"/>
        <item x="272"/>
        <item x="181"/>
        <item x="278"/>
        <item x="306"/>
        <item x="203"/>
        <item x="70"/>
        <item x="293"/>
        <item x="256"/>
        <item x="382"/>
        <item x="174"/>
        <item x="153"/>
        <item x="371"/>
        <item x="232"/>
        <item x="401"/>
        <item x="67"/>
        <item x="424"/>
        <item x="183"/>
        <item x="420"/>
        <item x="361"/>
        <item x="142"/>
        <item x="151"/>
        <item x="388"/>
        <item x="197"/>
        <item x="160"/>
        <item x="270"/>
        <item x="350"/>
        <item x="63"/>
        <item x="81"/>
        <item x="324"/>
        <item x="423"/>
        <item x="320"/>
        <item x="390"/>
        <item x="397"/>
        <item x="398"/>
        <item x="281"/>
        <item x="165"/>
        <item x="351"/>
        <item x="461"/>
        <item x="290"/>
        <item x="443"/>
        <item x="194"/>
        <item x="346"/>
        <item x="187"/>
        <item x="431"/>
        <item x="444"/>
        <item x="313"/>
        <item x="354"/>
        <item x="258"/>
        <item x="385"/>
        <item x="205"/>
        <item x="422"/>
        <item x="416"/>
        <item x="288"/>
        <item x="279"/>
        <item x="328"/>
        <item x="162"/>
        <item x="458"/>
        <item x="341"/>
        <item x="304"/>
        <item x="386"/>
        <item x="415"/>
        <item x="330"/>
        <item x="438"/>
        <item x="455"/>
        <item x="309"/>
        <item x="259"/>
        <item x="282"/>
        <item x="335"/>
        <item x="435"/>
        <item x="406"/>
        <item x="405"/>
        <item x="297"/>
        <item x="441"/>
        <item x="191"/>
        <item x="247"/>
        <item x="144"/>
        <item x="417"/>
        <item x="453"/>
        <item x="367"/>
        <item x="407"/>
        <item x="318"/>
        <item x="414"/>
        <item x="411"/>
        <item x="446"/>
        <item x="448"/>
        <item x="180"/>
        <item x="467"/>
        <item x="308"/>
        <item x="454"/>
        <item x="464"/>
        <item x="261"/>
        <item x="418"/>
        <item x="445"/>
        <item x="442"/>
        <item x="186"/>
        <item x="264"/>
        <item x="370"/>
        <item x="437"/>
        <item x="456"/>
        <item x="263"/>
        <item x="460"/>
        <item x="248"/>
        <item x="345"/>
        <item x="243"/>
        <item x="449"/>
        <item x="462"/>
        <item x="429"/>
        <item x="413"/>
        <item x="228"/>
        <item x="468"/>
        <item x="336"/>
        <item x="337"/>
        <item x="452"/>
        <item x="339"/>
        <item x="353"/>
        <item x="466"/>
        <item x="216"/>
        <item x="349"/>
        <item x="440"/>
        <item x="254"/>
        <item x="285"/>
        <item x="392"/>
        <item x="326"/>
        <item x="379"/>
        <item x="377"/>
        <item x="296"/>
        <item x="381"/>
        <item x="302"/>
        <item x="273"/>
        <item x="409"/>
        <item x="319"/>
        <item x="408"/>
        <item x="395"/>
        <item x="334"/>
        <item x="347"/>
        <item x="235"/>
        <item x="389"/>
        <item x="314"/>
        <item x="383"/>
        <item x="294"/>
        <item x="450"/>
        <item x="451"/>
        <item x="202"/>
        <item x="315"/>
        <item x="190"/>
        <item x="362"/>
        <item x="275"/>
        <item x="400"/>
        <item x="299"/>
        <item x="268"/>
        <item x="340"/>
        <item x="344"/>
        <item x="433"/>
        <item x="364"/>
        <item x="283"/>
        <item x="333"/>
        <item x="369"/>
        <item x="396"/>
        <item x="463"/>
        <item x="359"/>
        <item t="default"/>
      </items>
    </pivotField>
    <pivotField showAll="0">
      <items count="21">
        <item x="14"/>
        <item x="12"/>
        <item x="8"/>
        <item x="17"/>
        <item x="10"/>
        <item x="16"/>
        <item x="9"/>
        <item x="13"/>
        <item x="5"/>
        <item x="4"/>
        <item x="2"/>
        <item x="1"/>
        <item x="7"/>
        <item x="6"/>
        <item x="3"/>
        <item x="0"/>
        <item x="11"/>
        <item x="15"/>
        <item x="18"/>
        <item x="19"/>
        <item t="default"/>
      </items>
    </pivotField>
    <pivotField showAll="0">
      <items count="4">
        <item x="1"/>
        <item x="0"/>
        <item x="2"/>
        <item t="default"/>
      </items>
    </pivotField>
    <pivotField showAll="0"/>
    <pivotField showAll="0"/>
    <pivotField showAll="0"/>
    <pivotField dataField="1" numFmtId="2"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s>
  <rowFields count="1">
    <field x="0"/>
  </rowFields>
  <rowItems count="10">
    <i>
      <x v="404"/>
    </i>
    <i>
      <x v="76"/>
    </i>
    <i>
      <x v="215"/>
    </i>
    <i>
      <x v="19"/>
    </i>
    <i>
      <x v="288"/>
    </i>
    <i>
      <x v="64"/>
    </i>
    <i>
      <x v="398"/>
    </i>
    <i>
      <x v="349"/>
    </i>
    <i>
      <x v="478"/>
    </i>
    <i>
      <x v="443"/>
    </i>
  </rowItems>
  <colItems count="1">
    <i/>
  </colItems>
  <dataFields count="1">
    <dataField name="Average of Subcribers/Views" fld="7"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88DBB3-291E-4F34-BC31-2B928946133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annels">
  <location ref="A23:B27" firstHeaderRow="1" firstDataRow="1" firstDataCol="1"/>
  <pivotFields count="12">
    <pivotField dataField="1" showAll="0"/>
    <pivotField numFmtId="14" showAll="0">
      <items count="470">
        <item x="52"/>
        <item x="29"/>
        <item x="213"/>
        <item x="184"/>
        <item x="25"/>
        <item x="132"/>
        <item x="53"/>
        <item x="221"/>
        <item x="15"/>
        <item x="35"/>
        <item x="60"/>
        <item x="68"/>
        <item x="269"/>
        <item x="161"/>
        <item x="219"/>
        <item x="109"/>
        <item x="59"/>
        <item x="51"/>
        <item x="121"/>
        <item x="211"/>
        <item x="101"/>
        <item x="17"/>
        <item x="163"/>
        <item x="257"/>
        <item x="212"/>
        <item x="94"/>
        <item x="118"/>
        <item x="85"/>
        <item x="66"/>
        <item x="92"/>
        <item x="78"/>
        <item x="133"/>
        <item x="80"/>
        <item x="96"/>
        <item x="22"/>
        <item x="16"/>
        <item x="234"/>
        <item x="179"/>
        <item x="321"/>
        <item x="196"/>
        <item x="64"/>
        <item x="238"/>
        <item x="149"/>
        <item x="43"/>
        <item x="208"/>
        <item x="102"/>
        <item x="98"/>
        <item x="224"/>
        <item x="62"/>
        <item x="5"/>
        <item x="49"/>
        <item x="18"/>
        <item x="146"/>
        <item x="188"/>
        <item x="145"/>
        <item x="356"/>
        <item x="135"/>
        <item x="93"/>
        <item x="124"/>
        <item x="42"/>
        <item x="311"/>
        <item x="45"/>
        <item x="50"/>
        <item x="37"/>
        <item x="32"/>
        <item x="372"/>
        <item x="14"/>
        <item x="175"/>
        <item x="419"/>
        <item x="316"/>
        <item x="265"/>
        <item x="20"/>
        <item x="71"/>
        <item x="4"/>
        <item x="384"/>
        <item x="46"/>
        <item x="225"/>
        <item x="365"/>
        <item x="21"/>
        <item x="89"/>
        <item x="111"/>
        <item x="13"/>
        <item x="44"/>
        <item x="189"/>
        <item x="36"/>
        <item x="105"/>
        <item x="129"/>
        <item x="214"/>
        <item x="112"/>
        <item x="150"/>
        <item x="55"/>
        <item x="182"/>
        <item x="251"/>
        <item x="291"/>
        <item x="156"/>
        <item x="79"/>
        <item x="173"/>
        <item x="2"/>
        <item x="30"/>
        <item x="193"/>
        <item x="185"/>
        <item x="154"/>
        <item x="300"/>
        <item x="252"/>
        <item x="77"/>
        <item x="119"/>
        <item x="106"/>
        <item x="172"/>
        <item x="276"/>
        <item x="237"/>
        <item x="428"/>
        <item x="122"/>
        <item x="399"/>
        <item x="120"/>
        <item x="355"/>
        <item x="54"/>
        <item x="12"/>
        <item x="274"/>
        <item x="56"/>
        <item x="19"/>
        <item x="376"/>
        <item x="192"/>
        <item x="329"/>
        <item x="33"/>
        <item x="158"/>
        <item x="114"/>
        <item x="10"/>
        <item x="125"/>
        <item x="262"/>
        <item x="360"/>
        <item x="27"/>
        <item x="289"/>
        <item x="61"/>
        <item x="1"/>
        <item x="404"/>
        <item x="200"/>
        <item x="82"/>
        <item x="137"/>
        <item x="176"/>
        <item x="34"/>
        <item x="432"/>
        <item x="168"/>
        <item x="164"/>
        <item x="73"/>
        <item x="217"/>
        <item x="402"/>
        <item x="147"/>
        <item x="115"/>
        <item x="131"/>
        <item x="322"/>
        <item x="83"/>
        <item x="31"/>
        <item x="286"/>
        <item x="97"/>
        <item x="233"/>
        <item x="195"/>
        <item x="287"/>
        <item x="373"/>
        <item x="307"/>
        <item x="9"/>
        <item x="123"/>
        <item x="38"/>
        <item x="227"/>
        <item x="178"/>
        <item x="242"/>
        <item x="374"/>
        <item x="90"/>
        <item x="170"/>
        <item x="148"/>
        <item x="88"/>
        <item x="116"/>
        <item x="11"/>
        <item x="358"/>
        <item x="199"/>
        <item x="421"/>
        <item x="6"/>
        <item x="210"/>
        <item x="100"/>
        <item x="465"/>
        <item x="207"/>
        <item x="226"/>
        <item x="110"/>
        <item x="255"/>
        <item x="343"/>
        <item x="99"/>
        <item x="295"/>
        <item x="136"/>
        <item x="26"/>
        <item x="266"/>
        <item x="323"/>
        <item x="434"/>
        <item x="394"/>
        <item x="204"/>
        <item x="253"/>
        <item x="378"/>
        <item x="368"/>
        <item x="86"/>
        <item x="249"/>
        <item x="209"/>
        <item x="223"/>
        <item x="139"/>
        <item x="104"/>
        <item x="28"/>
        <item x="244"/>
        <item x="40"/>
        <item x="127"/>
        <item x="126"/>
        <item x="138"/>
        <item x="363"/>
        <item x="75"/>
        <item x="155"/>
        <item x="58"/>
        <item x="39"/>
        <item x="7"/>
        <item x="239"/>
        <item x="366"/>
        <item x="3"/>
        <item x="69"/>
        <item x="310"/>
        <item x="130"/>
        <item x="8"/>
        <item x="140"/>
        <item x="231"/>
        <item x="229"/>
        <item x="84"/>
        <item x="103"/>
        <item x="107"/>
        <item x="166"/>
        <item x="201"/>
        <item x="250"/>
        <item x="74"/>
        <item x="391"/>
        <item x="220"/>
        <item x="260"/>
        <item x="439"/>
        <item x="87"/>
        <item x="267"/>
        <item x="128"/>
        <item x="425"/>
        <item x="91"/>
        <item x="117"/>
        <item x="177"/>
        <item x="236"/>
        <item x="198"/>
        <item x="459"/>
        <item x="108"/>
        <item x="47"/>
        <item x="271"/>
        <item x="317"/>
        <item x="357"/>
        <item x="143"/>
        <item x="284"/>
        <item x="57"/>
        <item x="457"/>
        <item x="48"/>
        <item x="0"/>
        <item x="403"/>
        <item x="141"/>
        <item x="305"/>
        <item x="427"/>
        <item x="41"/>
        <item x="159"/>
        <item x="312"/>
        <item x="426"/>
        <item x="393"/>
        <item x="387"/>
        <item x="410"/>
        <item x="325"/>
        <item x="169"/>
        <item x="218"/>
        <item x="303"/>
        <item x="332"/>
        <item x="447"/>
        <item x="280"/>
        <item x="375"/>
        <item x="292"/>
        <item x="65"/>
        <item x="327"/>
        <item x="298"/>
        <item x="24"/>
        <item x="301"/>
        <item x="95"/>
        <item x="277"/>
        <item x="23"/>
        <item x="246"/>
        <item x="167"/>
        <item x="222"/>
        <item x="76"/>
        <item x="171"/>
        <item x="245"/>
        <item x="436"/>
        <item x="152"/>
        <item x="157"/>
        <item x="348"/>
        <item x="241"/>
        <item x="206"/>
        <item x="72"/>
        <item x="240"/>
        <item x="380"/>
        <item x="331"/>
        <item x="134"/>
        <item x="430"/>
        <item x="342"/>
        <item x="113"/>
        <item x="412"/>
        <item x="230"/>
        <item x="352"/>
        <item x="338"/>
        <item x="215"/>
        <item x="272"/>
        <item x="181"/>
        <item x="278"/>
        <item x="306"/>
        <item x="203"/>
        <item x="70"/>
        <item x="293"/>
        <item x="256"/>
        <item x="382"/>
        <item x="174"/>
        <item x="153"/>
        <item x="371"/>
        <item x="232"/>
        <item x="401"/>
        <item x="67"/>
        <item x="424"/>
        <item x="183"/>
        <item x="420"/>
        <item x="361"/>
        <item x="142"/>
        <item x="151"/>
        <item x="388"/>
        <item x="197"/>
        <item x="160"/>
        <item x="270"/>
        <item x="350"/>
        <item x="63"/>
        <item x="81"/>
        <item x="324"/>
        <item x="423"/>
        <item x="320"/>
        <item x="390"/>
        <item x="397"/>
        <item x="398"/>
        <item x="281"/>
        <item x="165"/>
        <item x="351"/>
        <item x="461"/>
        <item x="290"/>
        <item x="443"/>
        <item x="194"/>
        <item x="346"/>
        <item x="187"/>
        <item x="431"/>
        <item x="444"/>
        <item x="313"/>
        <item x="354"/>
        <item x="258"/>
        <item x="385"/>
        <item x="205"/>
        <item x="422"/>
        <item x="416"/>
        <item x="288"/>
        <item x="279"/>
        <item x="328"/>
        <item x="162"/>
        <item x="458"/>
        <item x="341"/>
        <item x="304"/>
        <item x="386"/>
        <item x="415"/>
        <item x="330"/>
        <item x="438"/>
        <item x="455"/>
        <item x="309"/>
        <item x="259"/>
        <item x="282"/>
        <item x="335"/>
        <item x="435"/>
        <item x="406"/>
        <item x="405"/>
        <item x="297"/>
        <item x="441"/>
        <item x="191"/>
        <item x="247"/>
        <item x="144"/>
        <item x="417"/>
        <item x="453"/>
        <item x="367"/>
        <item x="407"/>
        <item x="318"/>
        <item x="414"/>
        <item x="411"/>
        <item x="446"/>
        <item x="448"/>
        <item x="180"/>
        <item x="467"/>
        <item x="308"/>
        <item x="454"/>
        <item x="464"/>
        <item x="261"/>
        <item x="418"/>
        <item x="445"/>
        <item x="442"/>
        <item x="186"/>
        <item x="264"/>
        <item x="370"/>
        <item x="437"/>
        <item x="456"/>
        <item x="263"/>
        <item x="460"/>
        <item x="248"/>
        <item x="345"/>
        <item x="243"/>
        <item x="449"/>
        <item x="462"/>
        <item x="429"/>
        <item x="413"/>
        <item x="228"/>
        <item x="468"/>
        <item x="336"/>
        <item x="337"/>
        <item x="452"/>
        <item x="339"/>
        <item x="353"/>
        <item x="466"/>
        <item x="216"/>
        <item x="349"/>
        <item x="440"/>
        <item x="254"/>
        <item x="285"/>
        <item x="392"/>
        <item x="326"/>
        <item x="379"/>
        <item x="377"/>
        <item x="296"/>
        <item x="381"/>
        <item x="302"/>
        <item x="273"/>
        <item x="409"/>
        <item x="319"/>
        <item x="408"/>
        <item x="395"/>
        <item x="334"/>
        <item x="347"/>
        <item x="235"/>
        <item x="389"/>
        <item x="314"/>
        <item x="383"/>
        <item x="294"/>
        <item x="450"/>
        <item x="451"/>
        <item x="202"/>
        <item x="315"/>
        <item x="190"/>
        <item x="362"/>
        <item x="275"/>
        <item x="400"/>
        <item x="299"/>
        <item x="268"/>
        <item x="340"/>
        <item x="344"/>
        <item x="433"/>
        <item x="364"/>
        <item x="283"/>
        <item x="333"/>
        <item x="369"/>
        <item x="396"/>
        <item x="463"/>
        <item x="359"/>
        <item t="default"/>
      </items>
    </pivotField>
    <pivotField showAll="0">
      <items count="21">
        <item x="14"/>
        <item x="12"/>
        <item x="8"/>
        <item x="17"/>
        <item x="10"/>
        <item x="16"/>
        <item x="9"/>
        <item x="13"/>
        <item x="5"/>
        <item x="4"/>
        <item x="2"/>
        <item x="1"/>
        <item x="7"/>
        <item x="6"/>
        <item x="3"/>
        <item x="0"/>
        <item x="11"/>
        <item x="15"/>
        <item x="18"/>
        <item x="19"/>
        <item t="default"/>
      </items>
    </pivotField>
    <pivotField axis="axisRow" showAll="0">
      <items count="4">
        <item x="1"/>
        <item x="0"/>
        <item x="2"/>
        <item t="default"/>
      </items>
    </pivotField>
    <pivotField showAll="0"/>
    <pivotField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4">
    <i>
      <x/>
    </i>
    <i>
      <x v="1"/>
    </i>
    <i>
      <x v="2"/>
    </i>
    <i t="grand">
      <x/>
    </i>
  </rowItems>
  <colItems count="1">
    <i/>
  </colItems>
  <dataFields count="1">
    <dataField name="Channels"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7" format="9">
      <pivotArea type="data" outline="0" fieldPosition="0">
        <references count="2">
          <reference field="4294967294" count="1" selected="0">
            <x v="0"/>
          </reference>
          <reference field="3" count="1" selected="0">
            <x v="1"/>
          </reference>
        </references>
      </pivotArea>
    </chartFormat>
    <chartFormat chart="7" format="10">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D9C20F-E21D-4F29-BD30-6D8C7D216DB7}"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Channels">
  <location ref="A75:B85" firstHeaderRow="1" firstDataRow="1" firstDataCol="1"/>
  <pivotFields count="12">
    <pivotField axis="axisRow" showAll="0" measureFilter="1" sortType="ascending">
      <items count="490">
        <item x="34"/>
        <item x="110"/>
        <item x="159"/>
        <item x="234"/>
        <item x="182"/>
        <item x="231"/>
        <item x="1"/>
        <item x="486"/>
        <item x="104"/>
        <item x="121"/>
        <item x="428"/>
        <item x="225"/>
        <item x="257"/>
        <item x="221"/>
        <item x="201"/>
        <item x="443"/>
        <item x="312"/>
        <item x="390"/>
        <item x="207"/>
        <item x="351"/>
        <item x="278"/>
        <item x="291"/>
        <item x="268"/>
        <item x="238"/>
        <item x="406"/>
        <item x="136"/>
        <item x="152"/>
        <item x="402"/>
        <item x="131"/>
        <item x="102"/>
        <item x="150"/>
        <item x="285"/>
        <item x="127"/>
        <item x="13"/>
        <item x="286"/>
        <item x="252"/>
        <item x="236"/>
        <item x="4"/>
        <item x="83"/>
        <item x="44"/>
        <item x="33"/>
        <item x="103"/>
        <item x="175"/>
        <item x="184"/>
        <item x="448"/>
        <item x="296"/>
        <item x="248"/>
        <item x="94"/>
        <item x="258"/>
        <item x="346"/>
        <item x="294"/>
        <item x="181"/>
        <item x="148"/>
        <item x="60"/>
        <item x="38"/>
        <item x="16"/>
        <item x="48"/>
        <item x="77"/>
        <item x="199"/>
        <item x="472"/>
        <item x="261"/>
        <item x="65"/>
        <item x="56"/>
        <item x="59"/>
        <item x="459"/>
        <item x="313"/>
        <item x="177"/>
        <item x="132"/>
        <item x="15"/>
        <item x="170"/>
        <item x="280"/>
        <item x="316"/>
        <item x="469"/>
        <item x="233"/>
        <item x="433"/>
        <item x="276"/>
        <item x="422"/>
        <item x="295"/>
        <item x="222"/>
        <item x="200"/>
        <item x="343"/>
        <item x="215"/>
        <item x="265"/>
        <item x="109"/>
        <item x="96"/>
        <item x="300"/>
        <item x="292"/>
        <item x="191"/>
        <item x="119"/>
        <item x="362"/>
        <item x="208"/>
        <item x="124"/>
        <item x="219"/>
        <item x="23"/>
        <item x="123"/>
        <item x="149"/>
        <item x="151"/>
        <item x="30"/>
        <item x="31"/>
        <item x="133"/>
        <item x="194"/>
        <item x="371"/>
        <item x="290"/>
        <item x="353"/>
        <item x="399"/>
        <item x="465"/>
        <item x="461"/>
        <item x="101"/>
        <item x="161"/>
        <item x="130"/>
        <item x="190"/>
        <item x="99"/>
        <item x="21"/>
        <item x="76"/>
        <item x="397"/>
        <item x="449"/>
        <item x="355"/>
        <item x="162"/>
        <item x="395"/>
        <item x="88"/>
        <item x="425"/>
        <item x="183"/>
        <item x="370"/>
        <item x="45"/>
        <item x="360"/>
        <item x="147"/>
        <item x="46"/>
        <item x="41"/>
        <item x="310"/>
        <item x="137"/>
        <item x="235"/>
        <item x="255"/>
        <item x="340"/>
        <item x="420"/>
        <item x="154"/>
        <item x="254"/>
        <item x="442"/>
        <item x="144"/>
        <item x="68"/>
        <item x="468"/>
        <item x="288"/>
        <item x="336"/>
        <item x="277"/>
        <item x="263"/>
        <item x="167"/>
        <item x="169"/>
        <item x="57"/>
        <item x="93"/>
        <item x="211"/>
        <item x="407"/>
        <item x="117"/>
        <item x="139"/>
        <item x="317"/>
        <item x="95"/>
        <item x="232"/>
        <item x="227"/>
        <item x="82"/>
        <item x="474"/>
        <item x="471"/>
        <item x="29"/>
        <item x="289"/>
        <item x="100"/>
        <item x="452"/>
        <item x="467"/>
        <item x="382"/>
        <item x="163"/>
        <item x="228"/>
        <item x="401"/>
        <item x="7"/>
        <item x="26"/>
        <item x="283"/>
        <item x="274"/>
        <item x="439"/>
        <item x="333"/>
        <item x="138"/>
        <item x="301"/>
        <item x="272"/>
        <item x="142"/>
        <item x="70"/>
        <item x="106"/>
        <item x="71"/>
        <item x="239"/>
        <item x="91"/>
        <item x="87"/>
        <item x="107"/>
        <item x="348"/>
        <item x="444"/>
        <item x="229"/>
        <item x="86"/>
        <item x="108"/>
        <item x="273"/>
        <item x="250"/>
        <item x="464"/>
        <item x="322"/>
        <item x="69"/>
        <item x="282"/>
        <item x="202"/>
        <item x="180"/>
        <item x="51"/>
        <item x="198"/>
        <item x="105"/>
        <item x="145"/>
        <item x="458"/>
        <item x="85"/>
        <item x="388"/>
        <item x="210"/>
        <item x="434"/>
        <item x="172"/>
        <item x="460"/>
        <item x="259"/>
        <item x="197"/>
        <item x="11"/>
        <item x="188"/>
        <item x="331"/>
        <item x="332"/>
        <item x="414"/>
        <item x="212"/>
        <item x="97"/>
        <item x="457"/>
        <item x="275"/>
        <item x="192"/>
        <item x="447"/>
        <item x="114"/>
        <item x="424"/>
        <item x="204"/>
        <item x="479"/>
        <item x="389"/>
        <item x="78"/>
        <item x="246"/>
        <item x="393"/>
        <item x="205"/>
        <item x="89"/>
        <item x="293"/>
        <item x="249"/>
        <item x="84"/>
        <item x="143"/>
        <item x="345"/>
        <item x="384"/>
        <item x="90"/>
        <item x="306"/>
        <item x="334"/>
        <item x="186"/>
        <item x="432"/>
        <item x="43"/>
        <item x="269"/>
        <item x="6"/>
        <item x="327"/>
        <item x="216"/>
        <item x="203"/>
        <item x="74"/>
        <item x="72"/>
        <item x="165"/>
        <item x="92"/>
        <item x="251"/>
        <item x="335"/>
        <item x="120"/>
        <item x="256"/>
        <item x="483"/>
        <item x="244"/>
        <item x="36"/>
        <item x="241"/>
        <item x="413"/>
        <item x="24"/>
        <item x="111"/>
        <item x="179"/>
        <item x="158"/>
        <item x="12"/>
        <item x="75"/>
        <item x="115"/>
        <item x="112"/>
        <item x="64"/>
        <item x="42"/>
        <item x="9"/>
        <item x="2"/>
        <item x="10"/>
        <item x="342"/>
        <item x="185"/>
        <item x="419"/>
        <item x="349"/>
        <item x="341"/>
        <item x="367"/>
        <item x="446"/>
        <item x="385"/>
        <item x="213"/>
        <item x="153"/>
        <item x="361"/>
        <item x="260"/>
        <item x="47"/>
        <item x="462"/>
        <item x="418"/>
        <item x="189"/>
        <item x="80"/>
        <item x="237"/>
        <item x="339"/>
        <item x="176"/>
        <item x="369"/>
        <item x="387"/>
        <item x="480"/>
        <item x="485"/>
        <item x="304"/>
        <item x="178"/>
        <item x="193"/>
        <item x="403"/>
        <item x="247"/>
        <item x="476"/>
        <item x="437"/>
        <item x="409"/>
        <item x="307"/>
        <item x="328"/>
        <item x="423"/>
        <item x="129"/>
        <item x="226"/>
        <item x="39"/>
        <item x="141"/>
        <item x="298"/>
        <item x="417"/>
        <item x="308"/>
        <item x="412"/>
        <item x="440"/>
        <item x="427"/>
        <item x="3"/>
        <item x="155"/>
        <item x="55"/>
        <item x="383"/>
        <item x="435"/>
        <item x="381"/>
        <item x="73"/>
        <item x="481"/>
        <item x="456"/>
        <item x="478"/>
        <item x="372"/>
        <item x="125"/>
        <item x="297"/>
        <item x="81"/>
        <item x="358"/>
        <item x="430"/>
        <item x="376"/>
        <item x="344"/>
        <item x="323"/>
        <item x="113"/>
        <item x="466"/>
        <item x="262"/>
        <item x="318"/>
        <item x="488"/>
        <item x="411"/>
        <item x="264"/>
        <item x="455"/>
        <item x="482"/>
        <item x="484"/>
        <item x="398"/>
        <item x="363"/>
        <item x="463"/>
        <item x="359"/>
        <item x="475"/>
        <item x="347"/>
        <item x="366"/>
        <item x="364"/>
        <item x="378"/>
        <item x="245"/>
        <item x="67"/>
        <item x="438"/>
        <item x="356"/>
        <item x="391"/>
        <item x="20"/>
        <item x="242"/>
        <item x="49"/>
        <item x="441"/>
        <item x="98"/>
        <item x="454"/>
        <item x="35"/>
        <item x="377"/>
        <item x="321"/>
        <item x="315"/>
        <item x="206"/>
        <item x="410"/>
        <item x="299"/>
        <item x="196"/>
        <item x="350"/>
        <item x="325"/>
        <item x="352"/>
        <item x="224"/>
        <item x="314"/>
        <item x="338"/>
        <item x="380"/>
        <item x="392"/>
        <item x="386"/>
        <item x="445"/>
        <item x="394"/>
        <item x="319"/>
        <item x="217"/>
        <item x="337"/>
        <item x="8"/>
        <item x="396"/>
        <item x="61"/>
        <item x="54"/>
        <item x="240"/>
        <item x="243"/>
        <item x="453"/>
        <item x="329"/>
        <item x="166"/>
        <item x="28"/>
        <item x="0"/>
        <item x="160"/>
        <item x="52"/>
        <item x="487"/>
        <item x="326"/>
        <item x="281"/>
        <item x="214"/>
        <item x="118"/>
        <item x="128"/>
        <item x="311"/>
        <item x="279"/>
        <item x="374"/>
        <item x="373"/>
        <item x="253"/>
        <item x="116"/>
        <item x="408"/>
        <item x="302"/>
        <item x="436"/>
        <item x="223"/>
        <item x="5"/>
        <item x="32"/>
        <item x="27"/>
        <item x="18"/>
        <item x="37"/>
        <item x="66"/>
        <item x="287"/>
        <item x="368"/>
        <item x="168"/>
        <item x="303"/>
        <item x="266"/>
        <item x="365"/>
        <item x="25"/>
        <item x="79"/>
        <item x="19"/>
        <item x="187"/>
        <item x="126"/>
        <item x="357"/>
        <item x="284"/>
        <item x="157"/>
        <item x="271"/>
        <item x="470"/>
        <item x="305"/>
        <item x="416"/>
        <item x="220"/>
        <item x="50"/>
        <item x="379"/>
        <item x="404"/>
        <item x="354"/>
        <item x="17"/>
        <item x="53"/>
        <item x="146"/>
        <item x="62"/>
        <item x="40"/>
        <item x="195"/>
        <item x="230"/>
        <item x="171"/>
        <item x="477"/>
        <item x="375"/>
        <item x="451"/>
        <item x="134"/>
        <item x="324"/>
        <item x="174"/>
        <item x="63"/>
        <item x="173"/>
        <item x="431"/>
        <item x="58"/>
        <item x="218"/>
        <item x="309"/>
        <item x="122"/>
        <item x="415"/>
        <item x="473"/>
        <item x="426"/>
        <item x="164"/>
        <item x="450"/>
        <item x="14"/>
        <item x="330"/>
        <item x="267"/>
        <item x="320"/>
        <item x="421"/>
        <item x="400"/>
        <item x="140"/>
        <item x="22"/>
        <item x="135"/>
        <item x="270"/>
        <item x="429"/>
        <item x="405"/>
        <item x="156"/>
        <item x="209"/>
        <item t="default"/>
      </items>
      <autoSortScope>
        <pivotArea dataOnly="0" outline="0" fieldPosition="0">
          <references count="1">
            <reference field="4294967294" count="1" selected="0">
              <x v="0"/>
            </reference>
          </references>
        </pivotArea>
      </autoSortScope>
    </pivotField>
    <pivotField numFmtId="14" showAll="0">
      <items count="470">
        <item x="52"/>
        <item x="29"/>
        <item x="213"/>
        <item x="184"/>
        <item x="25"/>
        <item x="132"/>
        <item x="53"/>
        <item x="221"/>
        <item x="15"/>
        <item x="35"/>
        <item x="60"/>
        <item x="68"/>
        <item x="269"/>
        <item x="161"/>
        <item x="219"/>
        <item x="109"/>
        <item x="59"/>
        <item x="51"/>
        <item x="121"/>
        <item x="211"/>
        <item x="101"/>
        <item x="17"/>
        <item x="163"/>
        <item x="257"/>
        <item x="212"/>
        <item x="94"/>
        <item x="118"/>
        <item x="85"/>
        <item x="66"/>
        <item x="92"/>
        <item x="78"/>
        <item x="133"/>
        <item x="80"/>
        <item x="96"/>
        <item x="22"/>
        <item x="16"/>
        <item x="234"/>
        <item x="179"/>
        <item x="321"/>
        <item x="196"/>
        <item x="64"/>
        <item x="238"/>
        <item x="149"/>
        <item x="43"/>
        <item x="208"/>
        <item x="102"/>
        <item x="98"/>
        <item x="224"/>
        <item x="62"/>
        <item x="5"/>
        <item x="49"/>
        <item x="18"/>
        <item x="146"/>
        <item x="188"/>
        <item x="145"/>
        <item x="356"/>
        <item x="135"/>
        <item x="93"/>
        <item x="124"/>
        <item x="42"/>
        <item x="311"/>
        <item x="45"/>
        <item x="50"/>
        <item x="37"/>
        <item x="32"/>
        <item x="372"/>
        <item x="14"/>
        <item x="175"/>
        <item x="419"/>
        <item x="316"/>
        <item x="265"/>
        <item x="20"/>
        <item x="71"/>
        <item x="4"/>
        <item x="384"/>
        <item x="46"/>
        <item x="225"/>
        <item x="365"/>
        <item x="21"/>
        <item x="89"/>
        <item x="111"/>
        <item x="13"/>
        <item x="44"/>
        <item x="189"/>
        <item x="36"/>
        <item x="105"/>
        <item x="129"/>
        <item x="214"/>
        <item x="112"/>
        <item x="150"/>
        <item x="55"/>
        <item x="182"/>
        <item x="251"/>
        <item x="291"/>
        <item x="156"/>
        <item x="79"/>
        <item x="173"/>
        <item x="2"/>
        <item x="30"/>
        <item x="193"/>
        <item x="185"/>
        <item x="154"/>
        <item x="300"/>
        <item x="252"/>
        <item x="77"/>
        <item x="119"/>
        <item x="106"/>
        <item x="172"/>
        <item x="276"/>
        <item x="237"/>
        <item x="428"/>
        <item x="122"/>
        <item x="399"/>
        <item x="120"/>
        <item x="355"/>
        <item x="54"/>
        <item x="12"/>
        <item x="274"/>
        <item x="56"/>
        <item x="19"/>
        <item x="376"/>
        <item x="192"/>
        <item x="329"/>
        <item x="33"/>
        <item x="158"/>
        <item x="114"/>
        <item x="10"/>
        <item x="125"/>
        <item x="262"/>
        <item x="360"/>
        <item x="27"/>
        <item x="289"/>
        <item x="61"/>
        <item x="1"/>
        <item x="404"/>
        <item x="200"/>
        <item x="82"/>
        <item x="137"/>
        <item x="176"/>
        <item x="34"/>
        <item x="432"/>
        <item x="168"/>
        <item x="164"/>
        <item x="73"/>
        <item x="217"/>
        <item x="402"/>
        <item x="147"/>
        <item x="115"/>
        <item x="131"/>
        <item x="322"/>
        <item x="83"/>
        <item x="31"/>
        <item x="286"/>
        <item x="97"/>
        <item x="233"/>
        <item x="195"/>
        <item x="287"/>
        <item x="373"/>
        <item x="307"/>
        <item x="9"/>
        <item x="123"/>
        <item x="38"/>
        <item x="227"/>
        <item x="178"/>
        <item x="242"/>
        <item x="374"/>
        <item x="90"/>
        <item x="170"/>
        <item x="148"/>
        <item x="88"/>
        <item x="116"/>
        <item x="11"/>
        <item x="358"/>
        <item x="199"/>
        <item x="421"/>
        <item x="6"/>
        <item x="210"/>
        <item x="100"/>
        <item x="465"/>
        <item x="207"/>
        <item x="226"/>
        <item x="110"/>
        <item x="255"/>
        <item x="343"/>
        <item x="99"/>
        <item x="295"/>
        <item x="136"/>
        <item x="26"/>
        <item x="266"/>
        <item x="323"/>
        <item x="434"/>
        <item x="394"/>
        <item x="204"/>
        <item x="253"/>
        <item x="378"/>
        <item x="368"/>
        <item x="86"/>
        <item x="249"/>
        <item x="209"/>
        <item x="223"/>
        <item x="139"/>
        <item x="104"/>
        <item x="28"/>
        <item x="244"/>
        <item x="40"/>
        <item x="127"/>
        <item x="126"/>
        <item x="138"/>
        <item x="363"/>
        <item x="75"/>
        <item x="155"/>
        <item x="58"/>
        <item x="39"/>
        <item x="7"/>
        <item x="239"/>
        <item x="366"/>
        <item x="3"/>
        <item x="69"/>
        <item x="310"/>
        <item x="130"/>
        <item x="8"/>
        <item x="140"/>
        <item x="231"/>
        <item x="229"/>
        <item x="84"/>
        <item x="103"/>
        <item x="107"/>
        <item x="166"/>
        <item x="201"/>
        <item x="250"/>
        <item x="74"/>
        <item x="391"/>
        <item x="220"/>
        <item x="260"/>
        <item x="439"/>
        <item x="87"/>
        <item x="267"/>
        <item x="128"/>
        <item x="425"/>
        <item x="91"/>
        <item x="117"/>
        <item x="177"/>
        <item x="236"/>
        <item x="198"/>
        <item x="459"/>
        <item x="108"/>
        <item x="47"/>
        <item x="271"/>
        <item x="317"/>
        <item x="357"/>
        <item x="143"/>
        <item x="284"/>
        <item x="57"/>
        <item x="457"/>
        <item x="48"/>
        <item x="0"/>
        <item x="403"/>
        <item x="141"/>
        <item x="305"/>
        <item x="427"/>
        <item x="41"/>
        <item x="159"/>
        <item x="312"/>
        <item x="426"/>
        <item x="393"/>
        <item x="387"/>
        <item x="410"/>
        <item x="325"/>
        <item x="169"/>
        <item x="218"/>
        <item x="303"/>
        <item x="332"/>
        <item x="447"/>
        <item x="280"/>
        <item x="375"/>
        <item x="292"/>
        <item x="65"/>
        <item x="327"/>
        <item x="298"/>
        <item x="24"/>
        <item x="301"/>
        <item x="95"/>
        <item x="277"/>
        <item x="23"/>
        <item x="246"/>
        <item x="167"/>
        <item x="222"/>
        <item x="76"/>
        <item x="171"/>
        <item x="245"/>
        <item x="436"/>
        <item x="152"/>
        <item x="157"/>
        <item x="348"/>
        <item x="241"/>
        <item x="206"/>
        <item x="72"/>
        <item x="240"/>
        <item x="380"/>
        <item x="331"/>
        <item x="134"/>
        <item x="430"/>
        <item x="342"/>
        <item x="113"/>
        <item x="412"/>
        <item x="230"/>
        <item x="352"/>
        <item x="338"/>
        <item x="215"/>
        <item x="272"/>
        <item x="181"/>
        <item x="278"/>
        <item x="306"/>
        <item x="203"/>
        <item x="70"/>
        <item x="293"/>
        <item x="256"/>
        <item x="382"/>
        <item x="174"/>
        <item x="153"/>
        <item x="371"/>
        <item x="232"/>
        <item x="401"/>
        <item x="67"/>
        <item x="424"/>
        <item x="183"/>
        <item x="420"/>
        <item x="361"/>
        <item x="142"/>
        <item x="151"/>
        <item x="388"/>
        <item x="197"/>
        <item x="160"/>
        <item x="270"/>
        <item x="350"/>
        <item x="63"/>
        <item x="81"/>
        <item x="324"/>
        <item x="423"/>
        <item x="320"/>
        <item x="390"/>
        <item x="397"/>
        <item x="398"/>
        <item x="281"/>
        <item x="165"/>
        <item x="351"/>
        <item x="461"/>
        <item x="290"/>
        <item x="443"/>
        <item x="194"/>
        <item x="346"/>
        <item x="187"/>
        <item x="431"/>
        <item x="444"/>
        <item x="313"/>
        <item x="354"/>
        <item x="258"/>
        <item x="385"/>
        <item x="205"/>
        <item x="422"/>
        <item x="416"/>
        <item x="288"/>
        <item x="279"/>
        <item x="328"/>
        <item x="162"/>
        <item x="458"/>
        <item x="341"/>
        <item x="304"/>
        <item x="386"/>
        <item x="415"/>
        <item x="330"/>
        <item x="438"/>
        <item x="455"/>
        <item x="309"/>
        <item x="259"/>
        <item x="282"/>
        <item x="335"/>
        <item x="435"/>
        <item x="406"/>
        <item x="405"/>
        <item x="297"/>
        <item x="441"/>
        <item x="191"/>
        <item x="247"/>
        <item x="144"/>
        <item x="417"/>
        <item x="453"/>
        <item x="367"/>
        <item x="407"/>
        <item x="318"/>
        <item x="414"/>
        <item x="411"/>
        <item x="446"/>
        <item x="448"/>
        <item x="180"/>
        <item x="467"/>
        <item x="308"/>
        <item x="454"/>
        <item x="464"/>
        <item x="261"/>
        <item x="418"/>
        <item x="445"/>
        <item x="442"/>
        <item x="186"/>
        <item x="264"/>
        <item x="370"/>
        <item x="437"/>
        <item x="456"/>
        <item x="263"/>
        <item x="460"/>
        <item x="248"/>
        <item x="345"/>
        <item x="243"/>
        <item x="449"/>
        <item x="462"/>
        <item x="429"/>
        <item x="413"/>
        <item x="228"/>
        <item x="468"/>
        <item x="336"/>
        <item x="337"/>
        <item x="452"/>
        <item x="339"/>
        <item x="353"/>
        <item x="466"/>
        <item x="216"/>
        <item x="349"/>
        <item x="440"/>
        <item x="254"/>
        <item x="285"/>
        <item x="392"/>
        <item x="326"/>
        <item x="379"/>
        <item x="377"/>
        <item x="296"/>
        <item x="381"/>
        <item x="302"/>
        <item x="273"/>
        <item x="409"/>
        <item x="319"/>
        <item x="408"/>
        <item x="395"/>
        <item x="334"/>
        <item x="347"/>
        <item x="235"/>
        <item x="389"/>
        <item x="314"/>
        <item x="383"/>
        <item x="294"/>
        <item x="450"/>
        <item x="451"/>
        <item x="202"/>
        <item x="315"/>
        <item x="190"/>
        <item x="362"/>
        <item x="275"/>
        <item x="400"/>
        <item x="299"/>
        <item x="268"/>
        <item x="340"/>
        <item x="344"/>
        <item x="433"/>
        <item x="364"/>
        <item x="283"/>
        <item x="333"/>
        <item x="369"/>
        <item x="396"/>
        <item x="463"/>
        <item x="359"/>
        <item t="default"/>
      </items>
    </pivotField>
    <pivotField showAll="0">
      <items count="21">
        <item x="14"/>
        <item x="12"/>
        <item x="8"/>
        <item x="17"/>
        <item x="10"/>
        <item x="16"/>
        <item x="9"/>
        <item x="13"/>
        <item x="5"/>
        <item x="4"/>
        <item x="2"/>
        <item x="1"/>
        <item x="7"/>
        <item x="6"/>
        <item x="3"/>
        <item x="0"/>
        <item x="11"/>
        <item x="15"/>
        <item x="18"/>
        <item x="19"/>
        <item t="default"/>
      </items>
    </pivotField>
    <pivotField showAll="0">
      <items count="4">
        <item x="1"/>
        <item x="0"/>
        <item x="2"/>
        <item t="default"/>
      </items>
    </pivotField>
    <pivotField showAll="0"/>
    <pivotField dataField="1"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0"/>
  </rowFields>
  <rowItems count="10">
    <i>
      <x v="209"/>
    </i>
    <i>
      <x v="200"/>
    </i>
    <i>
      <x v="168"/>
    </i>
    <i>
      <x v="423"/>
    </i>
    <i>
      <x v="394"/>
    </i>
    <i>
      <x v="312"/>
    </i>
    <i>
      <x v="169"/>
    </i>
    <i>
      <x v="196"/>
    </i>
    <i>
      <x v="420"/>
    </i>
    <i>
      <x v="273"/>
    </i>
  </rowItems>
  <colItems count="1">
    <i/>
  </colItems>
  <dataFields count="1">
    <dataField name="Views" fld="5" baseField="0"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5D8491-5762-432D-994F-E027B1804EF8}"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rowHeaderCaption="Channels">
  <location ref="A1:B21" firstHeaderRow="1" firstDataRow="1" firstDataCol="1"/>
  <pivotFields count="12">
    <pivotField dataField="1" showAll="0"/>
    <pivotField numFmtId="14" showAll="0">
      <items count="470">
        <item x="52"/>
        <item x="29"/>
        <item x="213"/>
        <item x="184"/>
        <item x="25"/>
        <item x="132"/>
        <item x="53"/>
        <item x="221"/>
        <item x="15"/>
        <item x="35"/>
        <item x="60"/>
        <item x="68"/>
        <item x="269"/>
        <item x="161"/>
        <item x="219"/>
        <item x="109"/>
        <item x="59"/>
        <item x="51"/>
        <item x="121"/>
        <item x="211"/>
        <item x="101"/>
        <item x="17"/>
        <item x="163"/>
        <item x="257"/>
        <item x="212"/>
        <item x="94"/>
        <item x="118"/>
        <item x="85"/>
        <item x="66"/>
        <item x="92"/>
        <item x="78"/>
        <item x="133"/>
        <item x="80"/>
        <item x="96"/>
        <item x="22"/>
        <item x="16"/>
        <item x="234"/>
        <item x="179"/>
        <item x="321"/>
        <item x="196"/>
        <item x="64"/>
        <item x="238"/>
        <item x="149"/>
        <item x="43"/>
        <item x="208"/>
        <item x="102"/>
        <item x="98"/>
        <item x="224"/>
        <item x="62"/>
        <item x="5"/>
        <item x="49"/>
        <item x="18"/>
        <item x="146"/>
        <item x="188"/>
        <item x="145"/>
        <item x="356"/>
        <item x="135"/>
        <item x="93"/>
        <item x="124"/>
        <item x="42"/>
        <item x="311"/>
        <item x="45"/>
        <item x="50"/>
        <item x="37"/>
        <item x="32"/>
        <item x="372"/>
        <item x="14"/>
        <item x="175"/>
        <item x="419"/>
        <item x="316"/>
        <item x="265"/>
        <item x="20"/>
        <item x="71"/>
        <item x="4"/>
        <item x="384"/>
        <item x="46"/>
        <item x="225"/>
        <item x="365"/>
        <item x="21"/>
        <item x="89"/>
        <item x="111"/>
        <item x="13"/>
        <item x="44"/>
        <item x="189"/>
        <item x="36"/>
        <item x="105"/>
        <item x="129"/>
        <item x="214"/>
        <item x="112"/>
        <item x="150"/>
        <item x="55"/>
        <item x="182"/>
        <item x="251"/>
        <item x="291"/>
        <item x="156"/>
        <item x="79"/>
        <item x="173"/>
        <item x="2"/>
        <item x="30"/>
        <item x="193"/>
        <item x="185"/>
        <item x="154"/>
        <item x="300"/>
        <item x="252"/>
        <item x="77"/>
        <item x="119"/>
        <item x="106"/>
        <item x="172"/>
        <item x="276"/>
        <item x="237"/>
        <item x="428"/>
        <item x="122"/>
        <item x="399"/>
        <item x="120"/>
        <item x="355"/>
        <item x="54"/>
        <item x="12"/>
        <item x="274"/>
        <item x="56"/>
        <item x="19"/>
        <item x="376"/>
        <item x="192"/>
        <item x="329"/>
        <item x="33"/>
        <item x="158"/>
        <item x="114"/>
        <item x="10"/>
        <item x="125"/>
        <item x="262"/>
        <item x="360"/>
        <item x="27"/>
        <item x="289"/>
        <item x="61"/>
        <item x="1"/>
        <item x="404"/>
        <item x="200"/>
        <item x="82"/>
        <item x="137"/>
        <item x="176"/>
        <item x="34"/>
        <item x="432"/>
        <item x="168"/>
        <item x="164"/>
        <item x="73"/>
        <item x="217"/>
        <item x="402"/>
        <item x="147"/>
        <item x="115"/>
        <item x="131"/>
        <item x="322"/>
        <item x="83"/>
        <item x="31"/>
        <item x="286"/>
        <item x="97"/>
        <item x="233"/>
        <item x="195"/>
        <item x="287"/>
        <item x="373"/>
        <item x="307"/>
        <item x="9"/>
        <item x="123"/>
        <item x="38"/>
        <item x="227"/>
        <item x="178"/>
        <item x="242"/>
        <item x="374"/>
        <item x="90"/>
        <item x="170"/>
        <item x="148"/>
        <item x="88"/>
        <item x="116"/>
        <item x="11"/>
        <item x="358"/>
        <item x="199"/>
        <item x="421"/>
        <item x="6"/>
        <item x="210"/>
        <item x="100"/>
        <item x="465"/>
        <item x="207"/>
        <item x="226"/>
        <item x="110"/>
        <item x="255"/>
        <item x="343"/>
        <item x="99"/>
        <item x="295"/>
        <item x="136"/>
        <item x="26"/>
        <item x="266"/>
        <item x="323"/>
        <item x="434"/>
        <item x="394"/>
        <item x="204"/>
        <item x="253"/>
        <item x="378"/>
        <item x="368"/>
        <item x="86"/>
        <item x="249"/>
        <item x="209"/>
        <item x="223"/>
        <item x="139"/>
        <item x="104"/>
        <item x="28"/>
        <item x="244"/>
        <item x="40"/>
        <item x="127"/>
        <item x="126"/>
        <item x="138"/>
        <item x="363"/>
        <item x="75"/>
        <item x="155"/>
        <item x="58"/>
        <item x="39"/>
        <item x="7"/>
        <item x="239"/>
        <item x="366"/>
        <item x="3"/>
        <item x="69"/>
        <item x="310"/>
        <item x="130"/>
        <item x="8"/>
        <item x="140"/>
        <item x="231"/>
        <item x="229"/>
        <item x="84"/>
        <item x="103"/>
        <item x="107"/>
        <item x="166"/>
        <item x="201"/>
        <item x="250"/>
        <item x="74"/>
        <item x="391"/>
        <item x="220"/>
        <item x="260"/>
        <item x="439"/>
        <item x="87"/>
        <item x="267"/>
        <item x="128"/>
        <item x="425"/>
        <item x="91"/>
        <item x="117"/>
        <item x="177"/>
        <item x="236"/>
        <item x="198"/>
        <item x="459"/>
        <item x="108"/>
        <item x="47"/>
        <item x="271"/>
        <item x="317"/>
        <item x="357"/>
        <item x="143"/>
        <item x="284"/>
        <item x="57"/>
        <item x="457"/>
        <item x="48"/>
        <item x="0"/>
        <item x="403"/>
        <item x="141"/>
        <item x="305"/>
        <item x="427"/>
        <item x="41"/>
        <item x="159"/>
        <item x="312"/>
        <item x="426"/>
        <item x="393"/>
        <item x="387"/>
        <item x="410"/>
        <item x="325"/>
        <item x="169"/>
        <item x="218"/>
        <item x="303"/>
        <item x="332"/>
        <item x="447"/>
        <item x="280"/>
        <item x="375"/>
        <item x="292"/>
        <item x="65"/>
        <item x="327"/>
        <item x="298"/>
        <item x="24"/>
        <item x="301"/>
        <item x="95"/>
        <item x="277"/>
        <item x="23"/>
        <item x="246"/>
        <item x="167"/>
        <item x="222"/>
        <item x="76"/>
        <item x="171"/>
        <item x="245"/>
        <item x="436"/>
        <item x="152"/>
        <item x="157"/>
        <item x="348"/>
        <item x="241"/>
        <item x="206"/>
        <item x="72"/>
        <item x="240"/>
        <item x="380"/>
        <item x="331"/>
        <item x="134"/>
        <item x="430"/>
        <item x="342"/>
        <item x="113"/>
        <item x="412"/>
        <item x="230"/>
        <item x="352"/>
        <item x="338"/>
        <item x="215"/>
        <item x="272"/>
        <item x="181"/>
        <item x="278"/>
        <item x="306"/>
        <item x="203"/>
        <item x="70"/>
        <item x="293"/>
        <item x="256"/>
        <item x="382"/>
        <item x="174"/>
        <item x="153"/>
        <item x="371"/>
        <item x="232"/>
        <item x="401"/>
        <item x="67"/>
        <item x="424"/>
        <item x="183"/>
        <item x="420"/>
        <item x="361"/>
        <item x="142"/>
        <item x="151"/>
        <item x="388"/>
        <item x="197"/>
        <item x="160"/>
        <item x="270"/>
        <item x="350"/>
        <item x="63"/>
        <item x="81"/>
        <item x="324"/>
        <item x="423"/>
        <item x="320"/>
        <item x="390"/>
        <item x="397"/>
        <item x="398"/>
        <item x="281"/>
        <item x="165"/>
        <item x="351"/>
        <item x="461"/>
        <item x="290"/>
        <item x="443"/>
        <item x="194"/>
        <item x="346"/>
        <item x="187"/>
        <item x="431"/>
        <item x="444"/>
        <item x="313"/>
        <item x="354"/>
        <item x="258"/>
        <item x="385"/>
        <item x="205"/>
        <item x="422"/>
        <item x="416"/>
        <item x="288"/>
        <item x="279"/>
        <item x="328"/>
        <item x="162"/>
        <item x="458"/>
        <item x="341"/>
        <item x="304"/>
        <item x="386"/>
        <item x="415"/>
        <item x="330"/>
        <item x="438"/>
        <item x="455"/>
        <item x="309"/>
        <item x="259"/>
        <item x="282"/>
        <item x="335"/>
        <item x="435"/>
        <item x="406"/>
        <item x="405"/>
        <item x="297"/>
        <item x="441"/>
        <item x="191"/>
        <item x="247"/>
        <item x="144"/>
        <item x="417"/>
        <item x="453"/>
        <item x="367"/>
        <item x="407"/>
        <item x="318"/>
        <item x="414"/>
        <item x="411"/>
        <item x="446"/>
        <item x="448"/>
        <item x="180"/>
        <item x="467"/>
        <item x="308"/>
        <item x="454"/>
        <item x="464"/>
        <item x="261"/>
        <item x="418"/>
        <item x="445"/>
        <item x="442"/>
        <item x="186"/>
        <item x="264"/>
        <item x="370"/>
        <item x="437"/>
        <item x="456"/>
        <item x="263"/>
        <item x="460"/>
        <item x="248"/>
        <item x="345"/>
        <item x="243"/>
        <item x="449"/>
        <item x="462"/>
        <item x="429"/>
        <item x="413"/>
        <item x="228"/>
        <item x="468"/>
        <item x="336"/>
        <item x="337"/>
        <item x="452"/>
        <item x="339"/>
        <item x="353"/>
        <item x="466"/>
        <item x="216"/>
        <item x="349"/>
        <item x="440"/>
        <item x="254"/>
        <item x="285"/>
        <item x="392"/>
        <item x="326"/>
        <item x="379"/>
        <item x="377"/>
        <item x="296"/>
        <item x="381"/>
        <item x="302"/>
        <item x="273"/>
        <item x="409"/>
        <item x="319"/>
        <item x="408"/>
        <item x="395"/>
        <item x="334"/>
        <item x="347"/>
        <item x="235"/>
        <item x="389"/>
        <item x="314"/>
        <item x="383"/>
        <item x="294"/>
        <item x="450"/>
        <item x="451"/>
        <item x="202"/>
        <item x="315"/>
        <item x="190"/>
        <item x="362"/>
        <item x="275"/>
        <item x="400"/>
        <item x="299"/>
        <item x="268"/>
        <item x="340"/>
        <item x="344"/>
        <item x="433"/>
        <item x="364"/>
        <item x="283"/>
        <item x="333"/>
        <item x="369"/>
        <item x="396"/>
        <item x="463"/>
        <item x="359"/>
        <item t="default"/>
      </items>
    </pivotField>
    <pivotField axis="axisRow" showAll="0">
      <items count="21">
        <item x="14"/>
        <item x="12"/>
        <item x="8"/>
        <item x="17"/>
        <item x="10"/>
        <item x="16"/>
        <item x="9"/>
        <item x="13"/>
        <item x="5"/>
        <item x="4"/>
        <item x="2"/>
        <item x="1"/>
        <item x="7"/>
        <item x="6"/>
        <item x="3"/>
        <item x="0"/>
        <item x="11"/>
        <item x="15"/>
        <item x="18"/>
        <item x="19"/>
        <item t="default"/>
      </items>
    </pivotField>
    <pivotField showAll="0"/>
    <pivotField showAll="0"/>
    <pivotField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2"/>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Channels Created" fld="0" subtotal="count" baseField="0" baseItem="0"/>
  </dataFields>
  <chartFormats count="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18"/>
          </reference>
        </references>
      </pivotArea>
    </chartFormat>
    <chartFormat chart="28" format="4"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AF08B2-698E-407F-B230-7EC3D3A15F51}" autoFormatId="16" applyNumberFormats="0" applyBorderFormats="0" applyFontFormats="0" applyPatternFormats="0" applyAlignmentFormats="0" applyWidthHeightFormats="0">
  <queryTableRefresh nextId="13">
    <queryTableFields count="9">
      <queryTableField id="2" name="channel_title" tableColumnId="2"/>
      <queryTableField id="3" name="Start Date" tableColumnId="3"/>
      <queryTableField id="9" dataBound="0" tableColumnId="9"/>
      <queryTableField id="8" dataBound="0" tableColumnId="7"/>
      <queryTableField id="4" name="video_count" tableColumnId="4"/>
      <queryTableField id="5" name="view_count" tableColumnId="5"/>
      <queryTableField id="10" dataBound="0" tableColumnId="10"/>
      <queryTableField id="12" dataBound="0" tableColumnId="13"/>
      <queryTableField id="6" name="subscriber_count" tableColumnId="6"/>
    </queryTableFields>
    <queryTableDeletedFields count="1">
      <deletedField name="channel_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F3ADDF-E3F0-4362-9A74-EDB3FC787B0A}" sourceName="Year">
  <pivotTables>
    <pivotTable tabId="3" name="PivotTable1"/>
    <pivotTable tabId="3" name="PivotTable10"/>
    <pivotTable tabId="3" name="PivotTable11"/>
    <pivotTable tabId="3" name="PivotTable14"/>
  </pivotTables>
  <data>
    <tabular pivotCacheId="1178515422">
      <items count="20">
        <i x="14" s="1"/>
        <i x="12" s="1"/>
        <i x="8" s="1"/>
        <i x="17" s="1"/>
        <i x="10" s="1"/>
        <i x="16" s="1"/>
        <i x="9" s="1"/>
        <i x="13" s="1"/>
        <i x="5" s="1"/>
        <i x="4" s="1"/>
        <i x="2" s="1"/>
        <i x="1" s="1"/>
        <i x="7" s="1"/>
        <i x="6" s="1"/>
        <i x="3" s="1"/>
        <i x="0" s="1"/>
        <i x="11" s="1"/>
        <i x="15"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3F6C0C30-F698-420D-AC9D-9C5DBA1C9F91}" sourceName="Generation">
  <pivotTables>
    <pivotTable tabId="3" name="PivotTable10"/>
    <pivotTable tabId="3" name="PivotTable1"/>
    <pivotTable tabId="3" name="PivotTable11"/>
    <pivotTable tabId="3" name="PivotTable14"/>
  </pivotTables>
  <data>
    <tabular pivotCacheId="117851542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5D6FA80-FC06-4BD6-9080-A8B55BFF5BBE}" cache="Slicer_Year" caption="Year" rowHeight="257175"/>
  <slicer name="Generation" xr10:uid="{BCE9828C-5FAE-4AD1-87AC-C0E05C29631B}" cache="Slicer_Generation" caption="Generati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5E3E7F-690A-433B-A9B9-2ADAE44EFF22}" name="yt_sports_channels_stats" displayName="yt_sports_channels_stats" ref="A1:I526" tableType="queryTable" totalsRowShown="0">
  <autoFilter ref="A1:I526" xr:uid="{F15E3E7F-690A-433B-A9B9-2ADAE44EFF22}"/>
  <tableColumns count="9">
    <tableColumn id="2" xr3:uid="{C4693D85-15E2-4CF6-83CF-B537A8B09BF3}" uniqueName="2" name="channel_title" queryTableFieldId="2" dataDxfId="52"/>
    <tableColumn id="3" xr3:uid="{834B3979-5626-473F-B5B2-0DDF71FDFA77}" uniqueName="3" name="Start Date" queryTableFieldId="3" dataDxfId="51"/>
    <tableColumn id="9" xr3:uid="{CF6C5414-3CE7-4054-9B38-C0606C59E8FF}" uniqueName="9" name="Year" queryTableFieldId="9" dataDxfId="50">
      <calculatedColumnFormula>YEAR(yt_sports_channels_stats[[#This Row],[Start Date]])</calculatedColumnFormula>
    </tableColumn>
    <tableColumn id="7" xr3:uid="{3E51E14E-55AB-4E9D-B0F5-D7049BE783A6}" uniqueName="7" name="Generation" queryTableFieldId="8" dataDxfId="49">
      <calculatedColumnFormula>IF(YEAR(yt_sports_channels_stats[[#This Row],[Start Date]])&lt;2011,"Old Gen",IF(AND(YEAR(yt_sports_channels_stats[[#This Row],[Start Date]]&gt;2011),YEAR(yt_sports_channels_stats[[#This Row],[Start Date]])&lt;2020),"Mid Gen","New Gen"))</calculatedColumnFormula>
    </tableColumn>
    <tableColumn id="4" xr3:uid="{06B5E47D-FF15-4719-8B91-0ADE3A35A0B2}" uniqueName="4" name="video_count" queryTableFieldId="4"/>
    <tableColumn id="5" xr3:uid="{E33277A5-903F-44E6-8866-5112F7144EC7}" uniqueName="5" name="view_count" queryTableFieldId="5"/>
    <tableColumn id="10" xr3:uid="{8309EB45-4ECE-4B02-B5A0-FC271DEE11DF}" uniqueName="10" name="Views/Video" queryTableFieldId="10" dataDxfId="48">
      <calculatedColumnFormula>yt_sports_channels_stats[[#This Row],[view_count]]/yt_sports_channels_stats[[#This Row],[video_count]]</calculatedColumnFormula>
    </tableColumn>
    <tableColumn id="13" xr3:uid="{82CC1FBC-1416-4353-B233-9D2D6FFD1DE9}" uniqueName="13" name="Subcribers/Views" queryTableFieldId="12" dataDxfId="47">
      <calculatedColumnFormula>yt_sports_channels_stats[[#This Row],[subscriber_count]]/yt_sports_channels_stats[[#This Row],[view_count]]</calculatedColumnFormula>
    </tableColumn>
    <tableColumn id="6" xr3:uid="{A3A95926-B76B-4394-95E5-40F3C4374358}" uniqueName="6" name="subscriber_count" queryTableField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188F9-B5EE-42AF-800D-17DD08E688F4}">
  <dimension ref="C1:R7"/>
  <sheetViews>
    <sheetView showGridLines="0" tabSelected="1" zoomScaleNormal="100" workbookViewId="0">
      <selection activeCell="O6" sqref="O6:R7"/>
    </sheetView>
  </sheetViews>
  <sheetFormatPr defaultRowHeight="15" x14ac:dyDescent="0.25"/>
  <cols>
    <col min="14" max="14" width="12.42578125" customWidth="1"/>
    <col min="15" max="15" width="16.140625" customWidth="1"/>
    <col min="16" max="16" width="11.42578125" customWidth="1"/>
    <col min="18" max="18" width="12.28515625" customWidth="1"/>
  </cols>
  <sheetData>
    <row r="1" spans="3:18" ht="15" customHeight="1" x14ac:dyDescent="0.25">
      <c r="C1" s="8" t="s">
        <v>508</v>
      </c>
      <c r="D1" s="8"/>
      <c r="E1" s="8"/>
      <c r="F1" s="8"/>
      <c r="G1" s="8"/>
      <c r="H1" s="8"/>
      <c r="I1" s="8"/>
      <c r="J1" s="8"/>
      <c r="K1" s="8"/>
      <c r="L1" s="8"/>
      <c r="M1" s="8"/>
      <c r="N1" s="8"/>
      <c r="O1" s="8"/>
      <c r="P1" s="8"/>
      <c r="Q1" s="8"/>
      <c r="R1" s="8"/>
    </row>
    <row r="2" spans="3:18" ht="15" customHeight="1" x14ac:dyDescent="0.25">
      <c r="C2" s="8"/>
      <c r="D2" s="8"/>
      <c r="E2" s="8"/>
      <c r="F2" s="8"/>
      <c r="G2" s="8"/>
      <c r="H2" s="8"/>
      <c r="I2" s="8"/>
      <c r="J2" s="8"/>
      <c r="K2" s="8"/>
      <c r="L2" s="8"/>
      <c r="M2" s="8"/>
      <c r="N2" s="8"/>
      <c r="O2" s="8"/>
      <c r="P2" s="8"/>
      <c r="Q2" s="8"/>
      <c r="R2" s="8"/>
    </row>
    <row r="3" spans="3:18" ht="15" customHeight="1" x14ac:dyDescent="0.25">
      <c r="C3" s="8"/>
      <c r="D3" s="8"/>
      <c r="E3" s="8"/>
      <c r="F3" s="8"/>
      <c r="G3" s="8"/>
      <c r="H3" s="8"/>
      <c r="I3" s="8"/>
      <c r="J3" s="8"/>
      <c r="K3" s="8"/>
      <c r="L3" s="8"/>
      <c r="M3" s="8"/>
      <c r="N3" s="8"/>
      <c r="O3" s="8"/>
      <c r="P3" s="8"/>
      <c r="Q3" s="8"/>
      <c r="R3" s="8"/>
    </row>
    <row r="4" spans="3:18" x14ac:dyDescent="0.25">
      <c r="C4" s="5" t="s">
        <v>512</v>
      </c>
      <c r="D4" s="5"/>
      <c r="E4" s="5"/>
      <c r="F4" s="5"/>
      <c r="G4" s="5" t="s">
        <v>504</v>
      </c>
      <c r="H4" s="5"/>
      <c r="I4" s="5"/>
      <c r="J4" s="5"/>
      <c r="K4" s="5" t="s">
        <v>510</v>
      </c>
      <c r="L4" s="5"/>
      <c r="M4" s="5"/>
      <c r="N4" s="5"/>
      <c r="O4" s="5" t="s">
        <v>511</v>
      </c>
      <c r="P4" s="5"/>
      <c r="Q4" s="5"/>
      <c r="R4" s="5"/>
    </row>
    <row r="5" spans="3:18" x14ac:dyDescent="0.25">
      <c r="C5" s="5"/>
      <c r="D5" s="5"/>
      <c r="E5" s="5"/>
      <c r="F5" s="5"/>
      <c r="G5" s="5"/>
      <c r="H5" s="5"/>
      <c r="I5" s="5"/>
      <c r="J5" s="5"/>
      <c r="K5" s="5"/>
      <c r="L5" s="5"/>
      <c r="M5" s="5"/>
      <c r="N5" s="5"/>
      <c r="O5" s="5"/>
      <c r="P5" s="5"/>
      <c r="Q5" s="5"/>
      <c r="R5" s="5"/>
    </row>
    <row r="6" spans="3:18" x14ac:dyDescent="0.25">
      <c r="C6" s="6" t="s">
        <v>5</v>
      </c>
      <c r="D6" s="6"/>
      <c r="E6" s="6"/>
      <c r="F6" s="6"/>
      <c r="G6" s="6">
        <f>_xlfn.XLOOKUP(C6,yt_sports_channels_stats!A:A,yt_sports_channels_stats!E:E)</f>
        <v>14819</v>
      </c>
      <c r="H6" s="6"/>
      <c r="I6" s="6"/>
      <c r="J6" s="6"/>
      <c r="K6" s="7">
        <f>(_xlfn.XLOOKUP(Dashboard!C6,yt_sports_channels_stats!A:A,yt_sports_channels_stats!F:F))/G6</f>
        <v>53017.878399352187</v>
      </c>
      <c r="L6" s="7"/>
      <c r="M6" s="7"/>
      <c r="N6" s="7"/>
      <c r="O6" s="7">
        <f>_xlfn.XLOOKUP(C6,yt_sports_channels_stats!A:A,yt_sports_channels_stats!I:I)/G6</f>
        <v>292.19245563128419</v>
      </c>
      <c r="P6" s="7"/>
      <c r="Q6" s="7"/>
      <c r="R6" s="7"/>
    </row>
    <row r="7" spans="3:18" x14ac:dyDescent="0.25">
      <c r="C7" s="6"/>
      <c r="D7" s="6"/>
      <c r="E7" s="6"/>
      <c r="F7" s="6"/>
      <c r="G7" s="6"/>
      <c r="H7" s="6"/>
      <c r="I7" s="6"/>
      <c r="J7" s="6"/>
      <c r="K7" s="7"/>
      <c r="L7" s="7"/>
      <c r="M7" s="7"/>
      <c r="N7" s="7"/>
      <c r="O7" s="7"/>
      <c r="P7" s="7"/>
      <c r="Q7" s="7"/>
      <c r="R7" s="7"/>
    </row>
  </sheetData>
  <mergeCells count="9">
    <mergeCell ref="C1:R3"/>
    <mergeCell ref="C4:F5"/>
    <mergeCell ref="G4:J5"/>
    <mergeCell ref="K4:N5"/>
    <mergeCell ref="O4:R5"/>
    <mergeCell ref="C6:F7"/>
    <mergeCell ref="G6:J7"/>
    <mergeCell ref="K6:N7"/>
    <mergeCell ref="O6:R7"/>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F1BA7BB-3FD6-418D-9C33-20AE3B2D6D81}">
          <x14:formula1>
            <xm:f>yt_sports_channels_stats!$A:C</xm:f>
          </x14:formula1>
          <xm:sqref>C6:F7</xm:sqref>
        </x14:dataValidation>
      </x14:dataValidation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9C8D-36CB-4F19-82FF-CD76A86E7921}">
  <dimension ref="A1:I526"/>
  <sheetViews>
    <sheetView topLeftCell="A2" workbookViewId="0">
      <selection activeCell="A39" sqref="A39"/>
    </sheetView>
  </sheetViews>
  <sheetFormatPr defaultRowHeight="15" x14ac:dyDescent="0.25"/>
  <cols>
    <col min="1" max="1" width="72.140625" bestFit="1" customWidth="1"/>
    <col min="2" max="4" width="12.42578125" customWidth="1"/>
    <col min="5" max="5" width="14.28515625" bestFit="1" customWidth="1"/>
    <col min="6" max="6" width="13.42578125" bestFit="1" customWidth="1"/>
    <col min="7" max="7" width="14.42578125" bestFit="1" customWidth="1"/>
    <col min="8" max="8" width="19.140625" bestFit="1" customWidth="1"/>
    <col min="9" max="9" width="19" bestFit="1" customWidth="1"/>
  </cols>
  <sheetData>
    <row r="1" spans="1:9" x14ac:dyDescent="0.25">
      <c r="A1" t="s">
        <v>0</v>
      </c>
      <c r="B1" t="s">
        <v>1</v>
      </c>
      <c r="C1" t="s">
        <v>502</v>
      </c>
      <c r="D1" t="s">
        <v>501</v>
      </c>
      <c r="E1" t="s">
        <v>2</v>
      </c>
      <c r="F1" t="s">
        <v>3</v>
      </c>
      <c r="G1" t="s">
        <v>519</v>
      </c>
      <c r="H1" t="s">
        <v>520</v>
      </c>
      <c r="I1" t="s">
        <v>4</v>
      </c>
    </row>
    <row r="2" spans="1:9" x14ac:dyDescent="0.25">
      <c r="A2" t="s">
        <v>5</v>
      </c>
      <c r="B2" s="1">
        <v>44106</v>
      </c>
      <c r="C2">
        <f>YEAR(yt_sports_channels_stats[[#This Row],[Start Date]])</f>
        <v>2020</v>
      </c>
      <c r="D2" s="1" t="str">
        <f>IF(YEAR(yt_sports_channels_stats[[#This Row],[Start Date]])&lt;2011,"Old Gen",IF(AND(YEAR(yt_sports_channels_stats[[#This Row],[Start Date]]&gt;2011),YEAR(yt_sports_channels_stats[[#This Row],[Start Date]])&lt;2020),"Mid Gen","New Gen"))</f>
        <v>New Gen</v>
      </c>
      <c r="E2">
        <v>14819</v>
      </c>
      <c r="F2">
        <v>785671940</v>
      </c>
      <c r="G2" s="4">
        <f>yt_sports_channels_stats[[#This Row],[view_count]]/yt_sports_channels_stats[[#This Row],[video_count]]</f>
        <v>53017.878399352187</v>
      </c>
      <c r="H2" s="4">
        <f>yt_sports_channels_stats[[#This Row],[subscriber_count]]/yt_sports_channels_stats[[#This Row],[view_count]]</f>
        <v>5.5112061148575578E-3</v>
      </c>
      <c r="I2">
        <v>4330000</v>
      </c>
    </row>
    <row r="3" spans="1:9" x14ac:dyDescent="0.25">
      <c r="A3" t="s">
        <v>6</v>
      </c>
      <c r="B3" s="1">
        <v>42726</v>
      </c>
      <c r="C3">
        <f>YEAR(yt_sports_channels_stats[[#This Row],[Start Date]])</f>
        <v>2016</v>
      </c>
      <c r="D3" s="1" t="str">
        <f>IF(YEAR(yt_sports_channels_stats[[#This Row],[Start Date]])&lt;2011,"Old Gen",IF(AND(YEAR(yt_sports_channels_stats[[#This Row],[Start Date]]&gt;2011),YEAR(yt_sports_channels_stats[[#This Row],[Start Date]])&lt;2020),"Mid Gen","New Gen"))</f>
        <v>Mid Gen</v>
      </c>
      <c r="E3">
        <v>2615</v>
      </c>
      <c r="F3">
        <v>309695531</v>
      </c>
      <c r="G3">
        <f>yt_sports_channels_stats[[#This Row],[view_count]]/yt_sports_channels_stats[[#This Row],[video_count]]</f>
        <v>118430.41338432122</v>
      </c>
      <c r="H3" s="4">
        <f>yt_sports_channels_stats[[#This Row],[subscriber_count]]/yt_sports_channels_stats[[#This Row],[view_count]]</f>
        <v>3.2225198625807747E-3</v>
      </c>
      <c r="I3">
        <v>998000</v>
      </c>
    </row>
    <row r="4" spans="1:9" x14ac:dyDescent="0.25">
      <c r="A4" t="s">
        <v>7</v>
      </c>
      <c r="B4" s="1">
        <v>42191</v>
      </c>
      <c r="C4">
        <f>YEAR(yt_sports_channels_stats[[#This Row],[Start Date]])</f>
        <v>2015</v>
      </c>
      <c r="D4" s="1" t="str">
        <f>IF(YEAR(yt_sports_channels_stats[[#This Row],[Start Date]])&lt;2011,"Old Gen",IF(AND(YEAR(yt_sports_channels_stats[[#This Row],[Start Date]]&gt;2011),YEAR(yt_sports_channels_stats[[#This Row],[Start Date]])&lt;2020),"Mid Gen","New Gen"))</f>
        <v>Mid Gen</v>
      </c>
      <c r="E4">
        <v>10715</v>
      </c>
      <c r="F4">
        <v>3898162997</v>
      </c>
      <c r="G4">
        <f>yt_sports_channels_stats[[#This Row],[view_count]]/yt_sports_channels_stats[[#This Row],[video_count]]</f>
        <v>363804.29276714887</v>
      </c>
      <c r="H4" s="4">
        <f>yt_sports_channels_stats[[#This Row],[subscriber_count]]/yt_sports_channels_stats[[#This Row],[view_count]]</f>
        <v>1.2390451614560846E-3</v>
      </c>
      <c r="I4">
        <v>4830000</v>
      </c>
    </row>
    <row r="5" spans="1:9" x14ac:dyDescent="0.25">
      <c r="A5" t="s">
        <v>8</v>
      </c>
      <c r="B5" s="1">
        <v>43725</v>
      </c>
      <c r="C5">
        <f>YEAR(yt_sports_channels_stats[[#This Row],[Start Date]])</f>
        <v>2019</v>
      </c>
      <c r="D5" s="1" t="str">
        <f>IF(YEAR(yt_sports_channels_stats[[#This Row],[Start Date]])&lt;2011,"Old Gen",IF(AND(YEAR(yt_sports_channels_stats[[#This Row],[Start Date]]&gt;2011),YEAR(yt_sports_channels_stats[[#This Row],[Start Date]])&lt;2020),"Mid Gen","New Gen"))</f>
        <v>Mid Gen</v>
      </c>
      <c r="E5">
        <v>2721</v>
      </c>
      <c r="F5">
        <v>122005864</v>
      </c>
      <c r="G5">
        <f>yt_sports_channels_stats[[#This Row],[view_count]]/yt_sports_channels_stats[[#This Row],[video_count]]</f>
        <v>44838.612274898936</v>
      </c>
      <c r="H5" s="4">
        <f>yt_sports_channels_stats[[#This Row],[subscriber_count]]/yt_sports_channels_stats[[#This Row],[view_count]]</f>
        <v>3.6555619982331341E-3</v>
      </c>
      <c r="I5">
        <v>446000</v>
      </c>
    </row>
    <row r="6" spans="1:9" x14ac:dyDescent="0.25">
      <c r="A6" t="s">
        <v>9</v>
      </c>
      <c r="B6" s="1">
        <v>41691</v>
      </c>
      <c r="C6">
        <f>YEAR(yt_sports_channels_stats[[#This Row],[Start Date]])</f>
        <v>2014</v>
      </c>
      <c r="D6" s="1" t="str">
        <f>IF(YEAR(yt_sports_channels_stats[[#This Row],[Start Date]])&lt;2011,"Old Gen",IF(AND(YEAR(yt_sports_channels_stats[[#This Row],[Start Date]]&gt;2011),YEAR(yt_sports_channels_stats[[#This Row],[Start Date]])&lt;2020),"Mid Gen","New Gen"))</f>
        <v>Mid Gen</v>
      </c>
      <c r="E6">
        <v>5265</v>
      </c>
      <c r="F6">
        <v>1373454279</v>
      </c>
      <c r="G6">
        <f>yt_sports_channels_stats[[#This Row],[view_count]]/yt_sports_channels_stats[[#This Row],[video_count]]</f>
        <v>260865.01025641026</v>
      </c>
      <c r="H6" s="4">
        <f>yt_sports_channels_stats[[#This Row],[subscriber_count]]/yt_sports_channels_stats[[#This Row],[view_count]]</f>
        <v>8.1546216508602103E-3</v>
      </c>
      <c r="I6">
        <v>11200000</v>
      </c>
    </row>
    <row r="7" spans="1:9" x14ac:dyDescent="0.25">
      <c r="A7" t="s">
        <v>10</v>
      </c>
      <c r="B7" s="1">
        <v>41276</v>
      </c>
      <c r="C7">
        <f>YEAR(yt_sports_channels_stats[[#This Row],[Start Date]])</f>
        <v>2013</v>
      </c>
      <c r="D7" s="1" t="str">
        <f>IF(YEAR(yt_sports_channels_stats[[#This Row],[Start Date]])&lt;2011,"Old Gen",IF(AND(YEAR(yt_sports_channels_stats[[#This Row],[Start Date]]&gt;2011),YEAR(yt_sports_channels_stats[[#This Row],[Start Date]])&lt;2020),"Mid Gen","New Gen"))</f>
        <v>Mid Gen</v>
      </c>
      <c r="E7">
        <v>13478</v>
      </c>
      <c r="F7">
        <v>3481324860</v>
      </c>
      <c r="G7">
        <f>yt_sports_channels_stats[[#This Row],[view_count]]/yt_sports_channels_stats[[#This Row],[video_count]]</f>
        <v>258296.8437453628</v>
      </c>
      <c r="H7" s="4">
        <f>yt_sports_channels_stats[[#This Row],[subscriber_count]]/yt_sports_channels_stats[[#This Row],[view_count]]</f>
        <v>1.5166639748753583E-3</v>
      </c>
      <c r="I7">
        <v>5280000</v>
      </c>
    </row>
    <row r="8" spans="1:9" x14ac:dyDescent="0.25">
      <c r="A8" t="s">
        <v>11</v>
      </c>
      <c r="B8" s="1">
        <v>43152</v>
      </c>
      <c r="C8">
        <f>YEAR(yt_sports_channels_stats[[#This Row],[Start Date]])</f>
        <v>2018</v>
      </c>
      <c r="D8" s="1" t="str">
        <f>IF(YEAR(yt_sports_channels_stats[[#This Row],[Start Date]])&lt;2011,"Old Gen",IF(AND(YEAR(yt_sports_channels_stats[[#This Row],[Start Date]]&gt;2011),YEAR(yt_sports_channels_stats[[#This Row],[Start Date]])&lt;2020),"Mid Gen","New Gen"))</f>
        <v>Mid Gen</v>
      </c>
      <c r="E8">
        <v>16959</v>
      </c>
      <c r="F8">
        <v>463985687</v>
      </c>
      <c r="G8">
        <f>yt_sports_channels_stats[[#This Row],[view_count]]/yt_sports_channels_stats[[#This Row],[video_count]]</f>
        <v>27359.259803054425</v>
      </c>
      <c r="H8" s="4">
        <f>yt_sports_channels_stats[[#This Row],[subscriber_count]]/yt_sports_channels_stats[[#This Row],[view_count]]</f>
        <v>2.823362954297338E-3</v>
      </c>
      <c r="I8">
        <v>1310000</v>
      </c>
    </row>
    <row r="9" spans="1:9" x14ac:dyDescent="0.25">
      <c r="A9" t="s">
        <v>12</v>
      </c>
      <c r="B9" s="1">
        <v>43692</v>
      </c>
      <c r="C9">
        <f>YEAR(yt_sports_channels_stats[[#This Row],[Start Date]])</f>
        <v>2019</v>
      </c>
      <c r="D9" s="1" t="str">
        <f>IF(YEAR(yt_sports_channels_stats[[#This Row],[Start Date]])&lt;2011,"Old Gen",IF(AND(YEAR(yt_sports_channels_stats[[#This Row],[Start Date]]&gt;2011),YEAR(yt_sports_channels_stats[[#This Row],[Start Date]])&lt;2020),"Mid Gen","New Gen"))</f>
        <v>Mid Gen</v>
      </c>
      <c r="E9">
        <v>11209</v>
      </c>
      <c r="F9">
        <v>2460868921</v>
      </c>
      <c r="G9">
        <f>yt_sports_channels_stats[[#This Row],[view_count]]/yt_sports_channels_stats[[#This Row],[video_count]]</f>
        <v>219544.02007315549</v>
      </c>
      <c r="H9" s="4">
        <f>yt_sports_channels_stats[[#This Row],[subscriber_count]]/yt_sports_channels_stats[[#This Row],[view_count]]</f>
        <v>1.1621911169644131E-3</v>
      </c>
      <c r="I9">
        <v>2860000</v>
      </c>
    </row>
    <row r="10" spans="1:9" x14ac:dyDescent="0.25">
      <c r="A10" t="s">
        <v>13</v>
      </c>
      <c r="B10" s="1">
        <v>43762</v>
      </c>
      <c r="C10">
        <f>YEAR(yt_sports_channels_stats[[#This Row],[Start Date]])</f>
        <v>2019</v>
      </c>
      <c r="D10" s="1" t="str">
        <f>IF(YEAR(yt_sports_channels_stats[[#This Row],[Start Date]])&lt;2011,"Old Gen",IF(AND(YEAR(yt_sports_channels_stats[[#This Row],[Start Date]]&gt;2011),YEAR(yt_sports_channels_stats[[#This Row],[Start Date]])&lt;2020),"Mid Gen","New Gen"))</f>
        <v>Mid Gen</v>
      </c>
      <c r="E10">
        <v>217</v>
      </c>
      <c r="F10">
        <v>469916</v>
      </c>
      <c r="G10">
        <f>yt_sports_channels_stats[[#This Row],[view_count]]/yt_sports_channels_stats[[#This Row],[video_count]]</f>
        <v>2165.5115207373274</v>
      </c>
      <c r="H10" s="4">
        <f>yt_sports_channels_stats[[#This Row],[subscriber_count]]/yt_sports_channels_stats[[#This Row],[view_count]]</f>
        <v>1.7577609615335506E-2</v>
      </c>
      <c r="I10">
        <v>8260</v>
      </c>
    </row>
    <row r="11" spans="1:9" x14ac:dyDescent="0.25">
      <c r="A11" t="s">
        <v>15</v>
      </c>
      <c r="B11" s="1">
        <v>42950</v>
      </c>
      <c r="C11">
        <f>YEAR(yt_sports_channels_stats[[#This Row],[Start Date]])</f>
        <v>2017</v>
      </c>
      <c r="D11" s="1" t="str">
        <f>IF(YEAR(yt_sports_channels_stats[[#This Row],[Start Date]])&lt;2011,"Old Gen",IF(AND(YEAR(yt_sports_channels_stats[[#This Row],[Start Date]]&gt;2011),YEAR(yt_sports_channels_stats[[#This Row],[Start Date]])&lt;2020),"Mid Gen","New Gen"))</f>
        <v>Mid Gen</v>
      </c>
      <c r="E11">
        <v>8182</v>
      </c>
      <c r="F11">
        <v>642459655</v>
      </c>
      <c r="G11">
        <f>yt_sports_channels_stats[[#This Row],[view_count]]/yt_sports_channels_stats[[#This Row],[video_count]]</f>
        <v>78521.101808848689</v>
      </c>
      <c r="H11" s="4">
        <f>yt_sports_channels_stats[[#This Row],[subscriber_count]]/yt_sports_channels_stats[[#This Row],[view_count]]</f>
        <v>1.7899956690665658E-3</v>
      </c>
      <c r="I11">
        <v>1150000</v>
      </c>
    </row>
    <row r="12" spans="1:9" x14ac:dyDescent="0.25">
      <c r="A12" t="s">
        <v>16</v>
      </c>
      <c r="B12" s="1">
        <v>42950</v>
      </c>
      <c r="C12">
        <f>YEAR(yt_sports_channels_stats[[#This Row],[Start Date]])</f>
        <v>2017</v>
      </c>
      <c r="D12" s="1" t="str">
        <f>IF(YEAR(yt_sports_channels_stats[[#This Row],[Start Date]])&lt;2011,"Old Gen",IF(AND(YEAR(yt_sports_channels_stats[[#This Row],[Start Date]]&gt;2011),YEAR(yt_sports_channels_stats[[#This Row],[Start Date]])&lt;2020),"Mid Gen","New Gen"))</f>
        <v>Mid Gen</v>
      </c>
      <c r="E12">
        <v>1783</v>
      </c>
      <c r="F12">
        <v>334982630</v>
      </c>
      <c r="G12">
        <f>yt_sports_channels_stats[[#This Row],[view_count]]/yt_sports_channels_stats[[#This Row],[video_count]]</f>
        <v>187875.84408300617</v>
      </c>
      <c r="H12" s="4">
        <f>yt_sports_channels_stats[[#This Row],[subscriber_count]]/yt_sports_channels_stats[[#This Row],[view_count]]</f>
        <v>1.4538067242471646E-3</v>
      </c>
      <c r="I12">
        <v>487000</v>
      </c>
    </row>
    <row r="13" spans="1:9" x14ac:dyDescent="0.25">
      <c r="A13" t="s">
        <v>17</v>
      </c>
      <c r="B13" s="1">
        <v>42657</v>
      </c>
      <c r="C13">
        <f>YEAR(yt_sports_channels_stats[[#This Row],[Start Date]])</f>
        <v>2016</v>
      </c>
      <c r="D13" s="1" t="str">
        <f>IF(YEAR(yt_sports_channels_stats[[#This Row],[Start Date]])&lt;2011,"Old Gen",IF(AND(YEAR(yt_sports_channels_stats[[#This Row],[Start Date]]&gt;2011),YEAR(yt_sports_channels_stats[[#This Row],[Start Date]])&lt;2020),"Mid Gen","New Gen"))</f>
        <v>Mid Gen</v>
      </c>
      <c r="E13">
        <v>6670</v>
      </c>
      <c r="F13">
        <v>233650997</v>
      </c>
      <c r="G13">
        <f>yt_sports_channels_stats[[#This Row],[view_count]]/yt_sports_channels_stats[[#This Row],[video_count]]</f>
        <v>35030.134482758622</v>
      </c>
      <c r="H13" s="4">
        <f>yt_sports_channels_stats[[#This Row],[subscriber_count]]/yt_sports_channels_stats[[#This Row],[view_count]]</f>
        <v>2.692049287510637E-3</v>
      </c>
      <c r="I13">
        <v>629000</v>
      </c>
    </row>
    <row r="14" spans="1:9" x14ac:dyDescent="0.25">
      <c r="A14" t="s">
        <v>18</v>
      </c>
      <c r="B14" s="1">
        <v>43125</v>
      </c>
      <c r="C14">
        <f>YEAR(yt_sports_channels_stats[[#This Row],[Start Date]])</f>
        <v>2018</v>
      </c>
      <c r="D14" s="1" t="str">
        <f>IF(YEAR(yt_sports_channels_stats[[#This Row],[Start Date]])&lt;2011,"Old Gen",IF(AND(YEAR(yt_sports_channels_stats[[#This Row],[Start Date]]&gt;2011),YEAR(yt_sports_channels_stats[[#This Row],[Start Date]])&lt;2020),"Mid Gen","New Gen"))</f>
        <v>Mid Gen</v>
      </c>
      <c r="E14">
        <v>3533</v>
      </c>
      <c r="F14">
        <v>704316160</v>
      </c>
      <c r="G14">
        <f>yt_sports_channels_stats[[#This Row],[view_count]]/yt_sports_channels_stats[[#This Row],[video_count]]</f>
        <v>199353.56920464194</v>
      </c>
      <c r="H14" s="4">
        <f>yt_sports_channels_stats[[#This Row],[subscriber_count]]/yt_sports_channels_stats[[#This Row],[view_count]]</f>
        <v>1.7605729790439565E-3</v>
      </c>
      <c r="I14">
        <v>1240000</v>
      </c>
    </row>
    <row r="15" spans="1:9" x14ac:dyDescent="0.25">
      <c r="A15" t="s">
        <v>19</v>
      </c>
      <c r="B15" s="1">
        <v>42503</v>
      </c>
      <c r="C15">
        <f>YEAR(yt_sports_channels_stats[[#This Row],[Start Date]])</f>
        <v>2016</v>
      </c>
      <c r="D15" s="1" t="str">
        <f>IF(YEAR(yt_sports_channels_stats[[#This Row],[Start Date]])&lt;2011,"Old Gen",IF(AND(YEAR(yt_sports_channels_stats[[#This Row],[Start Date]]&gt;2011),YEAR(yt_sports_channels_stats[[#This Row],[Start Date]])&lt;2020),"Mid Gen","New Gen"))</f>
        <v>Mid Gen</v>
      </c>
      <c r="E15">
        <v>2134</v>
      </c>
      <c r="F15">
        <v>185773811</v>
      </c>
      <c r="G15">
        <f>yt_sports_channels_stats[[#This Row],[view_count]]/yt_sports_channels_stats[[#This Row],[video_count]]</f>
        <v>87054.269447047802</v>
      </c>
      <c r="H15" s="4">
        <f>yt_sports_channels_stats[[#This Row],[subscriber_count]]/yt_sports_channels_stats[[#This Row],[view_count]]</f>
        <v>3.7895545998138562E-3</v>
      </c>
      <c r="I15">
        <v>704000</v>
      </c>
    </row>
    <row r="16" spans="1:9" x14ac:dyDescent="0.25">
      <c r="A16" t="s">
        <v>20</v>
      </c>
      <c r="B16" s="1">
        <v>41859</v>
      </c>
      <c r="C16">
        <f>YEAR(yt_sports_channels_stats[[#This Row],[Start Date]])</f>
        <v>2014</v>
      </c>
      <c r="D16" s="1" t="str">
        <f>IF(YEAR(yt_sports_channels_stats[[#This Row],[Start Date]])&lt;2011,"Old Gen",IF(AND(YEAR(yt_sports_channels_stats[[#This Row],[Start Date]]&gt;2011),YEAR(yt_sports_channels_stats[[#This Row],[Start Date]])&lt;2020),"Mid Gen","New Gen"))</f>
        <v>Mid Gen</v>
      </c>
      <c r="E16">
        <v>5294</v>
      </c>
      <c r="F16">
        <v>203054443</v>
      </c>
      <c r="G16">
        <f>yt_sports_channels_stats[[#This Row],[view_count]]/yt_sports_channels_stats[[#This Row],[video_count]]</f>
        <v>38355.580468454857</v>
      </c>
      <c r="H16" s="4">
        <f>yt_sports_channels_stats[[#This Row],[subscriber_count]]/yt_sports_channels_stats[[#This Row],[view_count]]</f>
        <v>1.275519984559018E-3</v>
      </c>
      <c r="I16">
        <v>259000</v>
      </c>
    </row>
    <row r="17" spans="1:9" x14ac:dyDescent="0.25">
      <c r="A17" t="s">
        <v>21</v>
      </c>
      <c r="B17" s="1">
        <v>41613</v>
      </c>
      <c r="C17">
        <f>YEAR(yt_sports_channels_stats[[#This Row],[Start Date]])</f>
        <v>2013</v>
      </c>
      <c r="D17" s="1" t="str">
        <f>IF(YEAR(yt_sports_channels_stats[[#This Row],[Start Date]])&lt;2011,"Old Gen",IF(AND(YEAR(yt_sports_channels_stats[[#This Row],[Start Date]]&gt;2011),YEAR(yt_sports_channels_stats[[#This Row],[Start Date]])&lt;2020),"Mid Gen","New Gen"))</f>
        <v>Mid Gen</v>
      </c>
      <c r="E17">
        <v>14816</v>
      </c>
      <c r="F17">
        <v>333707202</v>
      </c>
      <c r="G17">
        <f>yt_sports_channels_stats[[#This Row],[view_count]]/yt_sports_channels_stats[[#This Row],[video_count]]</f>
        <v>22523.434260259179</v>
      </c>
      <c r="H17" s="4">
        <f>yt_sports_channels_stats[[#This Row],[subscriber_count]]/yt_sports_channels_stats[[#This Row],[view_count]]</f>
        <v>1.0068706877953446E-2</v>
      </c>
      <c r="I17">
        <v>3360000</v>
      </c>
    </row>
    <row r="18" spans="1:9" x14ac:dyDescent="0.25">
      <c r="A18" t="s">
        <v>22</v>
      </c>
      <c r="B18" s="1">
        <v>39282</v>
      </c>
      <c r="C18">
        <f>YEAR(yt_sports_channels_stats[[#This Row],[Start Date]])</f>
        <v>2007</v>
      </c>
      <c r="D18" s="1" t="str">
        <f>IF(YEAR(yt_sports_channels_stats[[#This Row],[Start Date]])&lt;2011,"Old Gen",IF(AND(YEAR(yt_sports_channels_stats[[#This Row],[Start Date]]&gt;2011),YEAR(yt_sports_channels_stats[[#This Row],[Start Date]])&lt;2020),"Mid Gen","New Gen"))</f>
        <v>Old Gen</v>
      </c>
      <c r="E18">
        <v>24305</v>
      </c>
      <c r="F18">
        <v>783106618</v>
      </c>
      <c r="G18">
        <f>yt_sports_channels_stats[[#This Row],[view_count]]/yt_sports_channels_stats[[#This Row],[video_count]]</f>
        <v>32219.98016868957</v>
      </c>
      <c r="H18" s="4">
        <f>yt_sports_channels_stats[[#This Row],[subscriber_count]]/yt_sports_channels_stats[[#This Row],[view_count]]</f>
        <v>1.0126335057993343E-3</v>
      </c>
      <c r="I18">
        <v>793000</v>
      </c>
    </row>
    <row r="19" spans="1:9" x14ac:dyDescent="0.25">
      <c r="A19" t="s">
        <v>23</v>
      </c>
      <c r="B19" s="1">
        <v>40779</v>
      </c>
      <c r="C19">
        <f>YEAR(yt_sports_channels_stats[[#This Row],[Start Date]])</f>
        <v>2011</v>
      </c>
      <c r="D19" s="1" t="str">
        <f>IF(YEAR(yt_sports_channels_stats[[#This Row],[Start Date]])&lt;2011,"Old Gen",IF(AND(YEAR(yt_sports_channels_stats[[#This Row],[Start Date]]&gt;2011),YEAR(yt_sports_channels_stats[[#This Row],[Start Date]])&lt;2020),"Mid Gen","New Gen"))</f>
        <v>Mid Gen</v>
      </c>
      <c r="E19">
        <v>2355</v>
      </c>
      <c r="F19">
        <v>74531293</v>
      </c>
      <c r="G19">
        <f>yt_sports_channels_stats[[#This Row],[view_count]]/yt_sports_channels_stats[[#This Row],[video_count]]</f>
        <v>31648.107430997876</v>
      </c>
      <c r="H19" s="4">
        <f>yt_sports_channels_stats[[#This Row],[subscriber_count]]/yt_sports_channels_stats[[#This Row],[view_count]]</f>
        <v>1.4356385847217221E-3</v>
      </c>
      <c r="I19">
        <v>107000</v>
      </c>
    </row>
    <row r="20" spans="1:9" x14ac:dyDescent="0.25">
      <c r="A20" t="s">
        <v>24</v>
      </c>
      <c r="B20" s="1">
        <v>40116</v>
      </c>
      <c r="C20">
        <f>YEAR(yt_sports_channels_stats[[#This Row],[Start Date]])</f>
        <v>2009</v>
      </c>
      <c r="D20" s="1" t="str">
        <f>IF(YEAR(yt_sports_channels_stats[[#This Row],[Start Date]])&lt;2011,"Old Gen",IF(AND(YEAR(yt_sports_channels_stats[[#This Row],[Start Date]]&gt;2011),YEAR(yt_sports_channels_stats[[#This Row],[Start Date]])&lt;2020),"Mid Gen","New Gen"))</f>
        <v>Old Gen</v>
      </c>
      <c r="E20">
        <v>6991</v>
      </c>
      <c r="F20">
        <v>2661398591</v>
      </c>
      <c r="G20">
        <f>yt_sports_channels_stats[[#This Row],[view_count]]/yt_sports_channels_stats[[#This Row],[video_count]]</f>
        <v>380689.25632956659</v>
      </c>
      <c r="H20" s="4">
        <f>yt_sports_channels_stats[[#This Row],[subscriber_count]]/yt_sports_channels_stats[[#This Row],[view_count]]</f>
        <v>4.0204424982353201E-3</v>
      </c>
      <c r="I20">
        <v>10700000</v>
      </c>
    </row>
    <row r="21" spans="1:9" x14ac:dyDescent="0.25">
      <c r="A21" t="s">
        <v>25</v>
      </c>
      <c r="B21" s="1">
        <v>41382</v>
      </c>
      <c r="C21">
        <f>YEAR(yt_sports_channels_stats[[#This Row],[Start Date]])</f>
        <v>2013</v>
      </c>
      <c r="D21" s="1" t="str">
        <f>IF(YEAR(yt_sports_channels_stats[[#This Row],[Start Date]])&lt;2011,"Old Gen",IF(AND(YEAR(yt_sports_channels_stats[[#This Row],[Start Date]]&gt;2011),YEAR(yt_sports_channels_stats[[#This Row],[Start Date]])&lt;2020),"Mid Gen","New Gen"))</f>
        <v>Mid Gen</v>
      </c>
      <c r="E21">
        <v>10523</v>
      </c>
      <c r="F21">
        <v>1105611861</v>
      </c>
      <c r="G21">
        <f>yt_sports_channels_stats[[#This Row],[view_count]]/yt_sports_channels_stats[[#This Row],[video_count]]</f>
        <v>105066.22265513637</v>
      </c>
      <c r="H21" s="4">
        <f>yt_sports_channels_stats[[#This Row],[subscriber_count]]/yt_sports_channels_stats[[#This Row],[view_count]]</f>
        <v>2.1164751234520269E-3</v>
      </c>
      <c r="I21">
        <v>2340000</v>
      </c>
    </row>
    <row r="22" spans="1:9" x14ac:dyDescent="0.25">
      <c r="A22" t="s">
        <v>26</v>
      </c>
      <c r="B22" s="1">
        <v>42530</v>
      </c>
      <c r="C22">
        <f>YEAR(yt_sports_channels_stats[[#This Row],[Start Date]])</f>
        <v>2016</v>
      </c>
      <c r="D22" s="1" t="str">
        <f>IF(YEAR(yt_sports_channels_stats[[#This Row],[Start Date]])&lt;2011,"Old Gen",IF(AND(YEAR(yt_sports_channels_stats[[#This Row],[Start Date]]&gt;2011),YEAR(yt_sports_channels_stats[[#This Row],[Start Date]])&lt;2020),"Mid Gen","New Gen"))</f>
        <v>Mid Gen</v>
      </c>
      <c r="E22">
        <v>11</v>
      </c>
      <c r="F22">
        <v>4798771</v>
      </c>
      <c r="G22">
        <f>yt_sports_channels_stats[[#This Row],[view_count]]/yt_sports_channels_stats[[#This Row],[video_count]]</f>
        <v>436251.90909090912</v>
      </c>
      <c r="H22" s="4">
        <f>yt_sports_channels_stats[[#This Row],[subscriber_count]]/yt_sports_channels_stats[[#This Row],[view_count]]</f>
        <v>2.6465109504079272E-3</v>
      </c>
      <c r="I22">
        <v>12700</v>
      </c>
    </row>
    <row r="23" spans="1:9" x14ac:dyDescent="0.25">
      <c r="A23" t="s">
        <v>27</v>
      </c>
      <c r="B23" s="1">
        <v>41673</v>
      </c>
      <c r="C23">
        <f>YEAR(yt_sports_channels_stats[[#This Row],[Start Date]])</f>
        <v>2014</v>
      </c>
      <c r="D23" s="1" t="str">
        <f>IF(YEAR(yt_sports_channels_stats[[#This Row],[Start Date]])&lt;2011,"Old Gen",IF(AND(YEAR(yt_sports_channels_stats[[#This Row],[Start Date]]&gt;2011),YEAR(yt_sports_channels_stats[[#This Row],[Start Date]])&lt;2020),"Mid Gen","New Gen"))</f>
        <v>Mid Gen</v>
      </c>
      <c r="E23">
        <v>2331</v>
      </c>
      <c r="F23">
        <v>277195385</v>
      </c>
      <c r="G23">
        <f>yt_sports_channels_stats[[#This Row],[view_count]]/yt_sports_channels_stats[[#This Row],[video_count]]</f>
        <v>118916.93908193908</v>
      </c>
      <c r="H23" s="4">
        <f>yt_sports_channels_stats[[#This Row],[subscriber_count]]/yt_sports_channels_stats[[#This Row],[view_count]]</f>
        <v>2.5721928956356902E-3</v>
      </c>
      <c r="I23">
        <v>713000</v>
      </c>
    </row>
    <row r="24" spans="1:9" x14ac:dyDescent="0.25">
      <c r="A24" t="s">
        <v>28</v>
      </c>
      <c r="B24" s="1">
        <v>41787</v>
      </c>
      <c r="C24">
        <f>YEAR(yt_sports_channels_stats[[#This Row],[Start Date]])</f>
        <v>2014</v>
      </c>
      <c r="D24" s="1" t="str">
        <f>IF(YEAR(yt_sports_channels_stats[[#This Row],[Start Date]])&lt;2011,"Old Gen",IF(AND(YEAR(yt_sports_channels_stats[[#This Row],[Start Date]]&gt;2011),YEAR(yt_sports_channels_stats[[#This Row],[Start Date]])&lt;2020),"Mid Gen","New Gen"))</f>
        <v>Mid Gen</v>
      </c>
      <c r="E24">
        <v>8793</v>
      </c>
      <c r="F24">
        <v>754354811</v>
      </c>
      <c r="G24">
        <f>yt_sports_channels_stats[[#This Row],[view_count]]/yt_sports_channels_stats[[#This Row],[video_count]]</f>
        <v>85790.379961332874</v>
      </c>
      <c r="H24" s="4">
        <f>yt_sports_channels_stats[[#This Row],[subscriber_count]]/yt_sports_channels_stats[[#This Row],[view_count]]</f>
        <v>8.629891272742211E-4</v>
      </c>
      <c r="I24">
        <v>651000</v>
      </c>
    </row>
    <row r="25" spans="1:9" x14ac:dyDescent="0.25">
      <c r="A25" t="s">
        <v>29</v>
      </c>
      <c r="B25" s="1">
        <v>40778</v>
      </c>
      <c r="C25">
        <f>YEAR(yt_sports_channels_stats[[#This Row],[Start Date]])</f>
        <v>2011</v>
      </c>
      <c r="D25" s="1" t="str">
        <f>IF(YEAR(yt_sports_channels_stats[[#This Row],[Start Date]])&lt;2011,"Old Gen",IF(AND(YEAR(yt_sports_channels_stats[[#This Row],[Start Date]]&gt;2011),YEAR(yt_sports_channels_stats[[#This Row],[Start Date]])&lt;2020),"Mid Gen","New Gen"))</f>
        <v>Mid Gen</v>
      </c>
      <c r="E25">
        <v>7114</v>
      </c>
      <c r="F25">
        <v>432364064</v>
      </c>
      <c r="G25">
        <f>yt_sports_channels_stats[[#This Row],[view_count]]/yt_sports_channels_stats[[#This Row],[video_count]]</f>
        <v>60776.506044419453</v>
      </c>
      <c r="H25" s="4">
        <f>yt_sports_channels_stats[[#This Row],[subscriber_count]]/yt_sports_channels_stats[[#This Row],[view_count]]</f>
        <v>1.6675761471240127E-3</v>
      </c>
      <c r="I25">
        <v>721000</v>
      </c>
    </row>
    <row r="26" spans="1:9" x14ac:dyDescent="0.25">
      <c r="A26" t="s">
        <v>30</v>
      </c>
      <c r="B26" s="1">
        <v>44355</v>
      </c>
      <c r="C26">
        <f>YEAR(yt_sports_channels_stats[[#This Row],[Start Date]])</f>
        <v>2021</v>
      </c>
      <c r="D26" s="1" t="str">
        <f>IF(YEAR(yt_sports_channels_stats[[#This Row],[Start Date]])&lt;2011,"Old Gen",IF(AND(YEAR(yt_sports_channels_stats[[#This Row],[Start Date]]&gt;2011),YEAR(yt_sports_channels_stats[[#This Row],[Start Date]])&lt;2020),"Mid Gen","New Gen"))</f>
        <v>New Gen</v>
      </c>
      <c r="E26">
        <v>17828</v>
      </c>
      <c r="F26">
        <v>516674033</v>
      </c>
      <c r="G26">
        <f>yt_sports_channels_stats[[#This Row],[view_count]]/yt_sports_channels_stats[[#This Row],[video_count]]</f>
        <v>28981.042910029166</v>
      </c>
      <c r="H26" s="4">
        <f>yt_sports_channels_stats[[#This Row],[subscriber_count]]/yt_sports_channels_stats[[#This Row],[view_count]]</f>
        <v>1.1864346974062078E-3</v>
      </c>
      <c r="I26">
        <v>613000</v>
      </c>
    </row>
    <row r="27" spans="1:9" x14ac:dyDescent="0.25">
      <c r="A27" t="s">
        <v>31</v>
      </c>
      <c r="B27" s="1">
        <v>44341</v>
      </c>
      <c r="C27">
        <f>YEAR(yt_sports_channels_stats[[#This Row],[Start Date]])</f>
        <v>2021</v>
      </c>
      <c r="D27" s="1" t="str">
        <f>IF(YEAR(yt_sports_channels_stats[[#This Row],[Start Date]])&lt;2011,"Old Gen",IF(AND(YEAR(yt_sports_channels_stats[[#This Row],[Start Date]]&gt;2011),YEAR(yt_sports_channels_stats[[#This Row],[Start Date]])&lt;2020),"Mid Gen","New Gen"))</f>
        <v>New Gen</v>
      </c>
      <c r="E27">
        <v>5145</v>
      </c>
      <c r="F27">
        <v>552609354</v>
      </c>
      <c r="G27">
        <f>yt_sports_channels_stats[[#This Row],[view_count]]/yt_sports_channels_stats[[#This Row],[video_count]]</f>
        <v>107407.06588921283</v>
      </c>
      <c r="H27" s="4">
        <f>yt_sports_channels_stats[[#This Row],[subscriber_count]]/yt_sports_channels_stats[[#This Row],[view_count]]</f>
        <v>1.1147114965411895E-3</v>
      </c>
      <c r="I27">
        <v>616000</v>
      </c>
    </row>
    <row r="28" spans="1:9" x14ac:dyDescent="0.25">
      <c r="A28" t="s">
        <v>32</v>
      </c>
      <c r="B28" s="1">
        <v>38911</v>
      </c>
      <c r="C28">
        <f>YEAR(yt_sports_channels_stats[[#This Row],[Start Date]])</f>
        <v>2006</v>
      </c>
      <c r="D28" s="1" t="str">
        <f>IF(YEAR(yt_sports_channels_stats[[#This Row],[Start Date]])&lt;2011,"Old Gen",IF(AND(YEAR(yt_sports_channels_stats[[#This Row],[Start Date]]&gt;2011),YEAR(yt_sports_channels_stats[[#This Row],[Start Date]])&lt;2020),"Mid Gen","New Gen"))</f>
        <v>Old Gen</v>
      </c>
      <c r="E28">
        <v>45199</v>
      </c>
      <c r="F28">
        <v>3020014777</v>
      </c>
      <c r="G28">
        <f>yt_sports_channels_stats[[#This Row],[view_count]]/yt_sports_channels_stats[[#This Row],[video_count]]</f>
        <v>66815.964446116064</v>
      </c>
      <c r="H28" s="4">
        <f>yt_sports_channels_stats[[#This Row],[subscriber_count]]/yt_sports_channels_stats[[#This Row],[view_count]]</f>
        <v>3.3013083498564617E-3</v>
      </c>
      <c r="I28">
        <v>9970000</v>
      </c>
    </row>
    <row r="29" spans="1:9" x14ac:dyDescent="0.25">
      <c r="A29" t="s">
        <v>33</v>
      </c>
      <c r="B29" s="1">
        <v>43389</v>
      </c>
      <c r="C29">
        <f>YEAR(yt_sports_channels_stats[[#This Row],[Start Date]])</f>
        <v>2018</v>
      </c>
      <c r="D29" s="1" t="str">
        <f>IF(YEAR(yt_sports_channels_stats[[#This Row],[Start Date]])&lt;2011,"Old Gen",IF(AND(YEAR(yt_sports_channels_stats[[#This Row],[Start Date]]&gt;2011),YEAR(yt_sports_channels_stats[[#This Row],[Start Date]])&lt;2020),"Mid Gen","New Gen"))</f>
        <v>Mid Gen</v>
      </c>
      <c r="E29">
        <v>2410</v>
      </c>
      <c r="F29">
        <v>573791669</v>
      </c>
      <c r="G29">
        <f>yt_sports_channels_stats[[#This Row],[view_count]]/yt_sports_channels_stats[[#This Row],[video_count]]</f>
        <v>238087.82946058092</v>
      </c>
      <c r="H29" s="4">
        <f>yt_sports_channels_stats[[#This Row],[subscriber_count]]/yt_sports_channels_stats[[#This Row],[view_count]]</f>
        <v>1.6312540780371631E-3</v>
      </c>
      <c r="I29">
        <v>936000</v>
      </c>
    </row>
    <row r="30" spans="1:9" x14ac:dyDescent="0.25">
      <c r="A30" t="s">
        <v>34</v>
      </c>
      <c r="B30" s="1">
        <v>42704</v>
      </c>
      <c r="C30">
        <f>YEAR(yt_sports_channels_stats[[#This Row],[Start Date]])</f>
        <v>2016</v>
      </c>
      <c r="D30" s="1" t="str">
        <f>IF(YEAR(yt_sports_channels_stats[[#This Row],[Start Date]])&lt;2011,"Old Gen",IF(AND(YEAR(yt_sports_channels_stats[[#This Row],[Start Date]]&gt;2011),YEAR(yt_sports_channels_stats[[#This Row],[Start Date]])&lt;2020),"Mid Gen","New Gen"))</f>
        <v>Mid Gen</v>
      </c>
      <c r="E30">
        <v>1308</v>
      </c>
      <c r="F30">
        <v>3698744</v>
      </c>
      <c r="G30">
        <f>yt_sports_channels_stats[[#This Row],[view_count]]/yt_sports_channels_stats[[#This Row],[video_count]]</f>
        <v>2827.7859327217125</v>
      </c>
      <c r="H30" s="4">
        <f>yt_sports_channels_stats[[#This Row],[subscriber_count]]/yt_sports_channels_stats[[#This Row],[view_count]]</f>
        <v>1.2355545558167854E-3</v>
      </c>
      <c r="I30">
        <v>4570</v>
      </c>
    </row>
    <row r="31" spans="1:9" x14ac:dyDescent="0.25">
      <c r="A31" t="s">
        <v>35</v>
      </c>
      <c r="B31" s="1">
        <v>43590</v>
      </c>
      <c r="C31">
        <f>YEAR(yt_sports_channels_stats[[#This Row],[Start Date]])</f>
        <v>2019</v>
      </c>
      <c r="D31" s="1" t="str">
        <f>IF(YEAR(yt_sports_channels_stats[[#This Row],[Start Date]])&lt;2011,"Old Gen",IF(AND(YEAR(yt_sports_channels_stats[[#This Row],[Start Date]]&gt;2011),YEAR(yt_sports_channels_stats[[#This Row],[Start Date]])&lt;2020),"Mid Gen","New Gen"))</f>
        <v>Mid Gen</v>
      </c>
      <c r="E31">
        <v>780</v>
      </c>
      <c r="F31">
        <v>60912900</v>
      </c>
      <c r="G31">
        <f>yt_sports_channels_stats[[#This Row],[view_count]]/yt_sports_channels_stats[[#This Row],[video_count]]</f>
        <v>78093.461538461532</v>
      </c>
      <c r="H31" s="4">
        <f>yt_sports_channels_stats[[#This Row],[subscriber_count]]/yt_sports_channels_stats[[#This Row],[view_count]]</f>
        <v>1.5497538288277196E-3</v>
      </c>
      <c r="I31">
        <v>94400</v>
      </c>
    </row>
    <row r="32" spans="1:9" x14ac:dyDescent="0.25">
      <c r="A32" t="s">
        <v>36</v>
      </c>
      <c r="B32" s="1">
        <v>38782</v>
      </c>
      <c r="C32">
        <f>YEAR(yt_sports_channels_stats[[#This Row],[Start Date]])</f>
        <v>2006</v>
      </c>
      <c r="D32" s="1" t="str">
        <f>IF(YEAR(yt_sports_channels_stats[[#This Row],[Start Date]])&lt;2011,"Old Gen",IF(AND(YEAR(yt_sports_channels_stats[[#This Row],[Start Date]]&gt;2011),YEAR(yt_sports_channels_stats[[#This Row],[Start Date]])&lt;2020),"Mid Gen","New Gen"))</f>
        <v>Old Gen</v>
      </c>
      <c r="E32">
        <v>2645</v>
      </c>
      <c r="F32">
        <v>251057780</v>
      </c>
      <c r="G32">
        <f>yt_sports_channels_stats[[#This Row],[view_count]]/yt_sports_channels_stats[[#This Row],[video_count]]</f>
        <v>94917.875236294902</v>
      </c>
      <c r="H32" s="4">
        <f>yt_sports_channels_stats[[#This Row],[subscriber_count]]/yt_sports_channels_stats[[#This Row],[view_count]]</f>
        <v>3.0112590018122522E-3</v>
      </c>
      <c r="I32">
        <v>756000</v>
      </c>
    </row>
    <row r="33" spans="1:9" x14ac:dyDescent="0.25">
      <c r="A33" t="s">
        <v>37</v>
      </c>
      <c r="B33" s="1">
        <v>42195</v>
      </c>
      <c r="C33">
        <f>YEAR(yt_sports_channels_stats[[#This Row],[Start Date]])</f>
        <v>2015</v>
      </c>
      <c r="D33" s="1" t="str">
        <f>IF(YEAR(yt_sports_channels_stats[[#This Row],[Start Date]])&lt;2011,"Old Gen",IF(AND(YEAR(yt_sports_channels_stats[[#This Row],[Start Date]]&gt;2011),YEAR(yt_sports_channels_stats[[#This Row],[Start Date]])&lt;2020),"Mid Gen","New Gen"))</f>
        <v>Mid Gen</v>
      </c>
      <c r="E33">
        <v>72</v>
      </c>
      <c r="F33">
        <v>8880427</v>
      </c>
      <c r="G33">
        <f>yt_sports_channels_stats[[#This Row],[view_count]]/yt_sports_channels_stats[[#This Row],[video_count]]</f>
        <v>123339.26388888889</v>
      </c>
      <c r="H33" s="4">
        <f>yt_sports_channels_stats[[#This Row],[subscriber_count]]/yt_sports_channels_stats[[#This Row],[view_count]]</f>
        <v>6.170874441060098E-3</v>
      </c>
      <c r="I33">
        <v>54800</v>
      </c>
    </row>
    <row r="34" spans="1:9" x14ac:dyDescent="0.25">
      <c r="A34" t="s">
        <v>38</v>
      </c>
      <c r="B34" s="1">
        <v>42866</v>
      </c>
      <c r="C34">
        <f>YEAR(yt_sports_channels_stats[[#This Row],[Start Date]])</f>
        <v>2017</v>
      </c>
      <c r="D34" s="1" t="str">
        <f>IF(YEAR(yt_sports_channels_stats[[#This Row],[Start Date]])&lt;2011,"Old Gen",IF(AND(YEAR(yt_sports_channels_stats[[#This Row],[Start Date]]&gt;2011),YEAR(yt_sports_channels_stats[[#This Row],[Start Date]])&lt;2020),"Mid Gen","New Gen"))</f>
        <v>Mid Gen</v>
      </c>
      <c r="E34">
        <v>31607</v>
      </c>
      <c r="F34">
        <v>548957608</v>
      </c>
      <c r="G34">
        <f>yt_sports_channels_stats[[#This Row],[view_count]]/yt_sports_channels_stats[[#This Row],[video_count]]</f>
        <v>17368.228810073717</v>
      </c>
      <c r="H34" s="4">
        <f>yt_sports_channels_stats[[#This Row],[subscriber_count]]/yt_sports_channels_stats[[#This Row],[view_count]]</f>
        <v>2.2770428568320341E-3</v>
      </c>
      <c r="I34">
        <v>1250000</v>
      </c>
    </row>
    <row r="35" spans="1:9" x14ac:dyDescent="0.25">
      <c r="A35" t="s">
        <v>39</v>
      </c>
      <c r="B35" s="1">
        <v>41601</v>
      </c>
      <c r="C35">
        <f>YEAR(yt_sports_channels_stats[[#This Row],[Start Date]])</f>
        <v>2013</v>
      </c>
      <c r="D35" s="1" t="str">
        <f>IF(YEAR(yt_sports_channels_stats[[#This Row],[Start Date]])&lt;2011,"Old Gen",IF(AND(YEAR(yt_sports_channels_stats[[#This Row],[Start Date]]&gt;2011),YEAR(yt_sports_channels_stats[[#This Row],[Start Date]])&lt;2020),"Mid Gen","New Gen"))</f>
        <v>Mid Gen</v>
      </c>
      <c r="E35">
        <v>9160</v>
      </c>
      <c r="F35">
        <v>1061247351</v>
      </c>
      <c r="G35">
        <f>yt_sports_channels_stats[[#This Row],[view_count]]/yt_sports_channels_stats[[#This Row],[video_count]]</f>
        <v>115856.69770742358</v>
      </c>
      <c r="H35" s="4">
        <f>yt_sports_channels_stats[[#This Row],[subscriber_count]]/yt_sports_channels_stats[[#This Row],[view_count]]</f>
        <v>1.649002938241492E-3</v>
      </c>
      <c r="I35">
        <v>1750000</v>
      </c>
    </row>
    <row r="36" spans="1:9" x14ac:dyDescent="0.25">
      <c r="A36" t="s">
        <v>40</v>
      </c>
      <c r="B36" s="1">
        <v>42593</v>
      </c>
      <c r="C36">
        <f>YEAR(yt_sports_channels_stats[[#This Row],[Start Date]])</f>
        <v>2016</v>
      </c>
      <c r="D36" s="1" t="str">
        <f>IF(YEAR(yt_sports_channels_stats[[#This Row],[Start Date]])&lt;2011,"Old Gen",IF(AND(YEAR(yt_sports_channels_stats[[#This Row],[Start Date]]&gt;2011),YEAR(yt_sports_channels_stats[[#This Row],[Start Date]])&lt;2020),"Mid Gen","New Gen"))</f>
        <v>Mid Gen</v>
      </c>
      <c r="E36">
        <v>6655</v>
      </c>
      <c r="F36">
        <v>24283957</v>
      </c>
      <c r="G36">
        <f>yt_sports_channels_stats[[#This Row],[view_count]]/yt_sports_channels_stats[[#This Row],[video_count]]</f>
        <v>3648.9792637114952</v>
      </c>
      <c r="H36" s="4">
        <f>yt_sports_channels_stats[[#This Row],[subscriber_count]]/yt_sports_channels_stats[[#This Row],[view_count]]</f>
        <v>1.5895267809937236E-3</v>
      </c>
      <c r="I36">
        <v>38600</v>
      </c>
    </row>
    <row r="37" spans="1:9" x14ac:dyDescent="0.25">
      <c r="A37" t="s">
        <v>41</v>
      </c>
      <c r="B37" s="1">
        <v>42743</v>
      </c>
      <c r="C37">
        <f>YEAR(yt_sports_channels_stats[[#This Row],[Start Date]])</f>
        <v>2017</v>
      </c>
      <c r="D37" s="1" t="str">
        <f>IF(YEAR(yt_sports_channels_stats[[#This Row],[Start Date]])&lt;2011,"Old Gen",IF(AND(YEAR(yt_sports_channels_stats[[#This Row],[Start Date]]&gt;2011),YEAR(yt_sports_channels_stats[[#This Row],[Start Date]])&lt;2020),"Mid Gen","New Gen"))</f>
        <v>Mid Gen</v>
      </c>
      <c r="E37">
        <v>1937</v>
      </c>
      <c r="F37">
        <v>51250730</v>
      </c>
      <c r="G37">
        <f>yt_sports_channels_stats[[#This Row],[view_count]]/yt_sports_channels_stats[[#This Row],[video_count]]</f>
        <v>26458.817759421785</v>
      </c>
      <c r="H37" s="4">
        <f>yt_sports_channels_stats[[#This Row],[subscriber_count]]/yt_sports_channels_stats[[#This Row],[view_count]]</f>
        <v>6.5560041778917099E-3</v>
      </c>
      <c r="I37">
        <v>336000</v>
      </c>
    </row>
    <row r="38" spans="1:9" x14ac:dyDescent="0.25">
      <c r="A38" t="s">
        <v>42</v>
      </c>
      <c r="B38" s="1">
        <v>39331</v>
      </c>
      <c r="C38">
        <f>YEAR(yt_sports_channels_stats[[#This Row],[Start Date]])</f>
        <v>2007</v>
      </c>
      <c r="D38" s="1" t="str">
        <f>IF(YEAR(yt_sports_channels_stats[[#This Row],[Start Date]])&lt;2011,"Old Gen",IF(AND(YEAR(yt_sports_channels_stats[[#This Row],[Start Date]]&gt;2011),YEAR(yt_sports_channels_stats[[#This Row],[Start Date]])&lt;2020),"Mid Gen","New Gen"))</f>
        <v>Old Gen</v>
      </c>
      <c r="E38">
        <v>3854</v>
      </c>
      <c r="F38">
        <v>828491151</v>
      </c>
      <c r="G38">
        <f>yt_sports_channels_stats[[#This Row],[view_count]]/yt_sports_channels_stats[[#This Row],[video_count]]</f>
        <v>214969.16216917487</v>
      </c>
      <c r="H38" s="4">
        <f>yt_sports_channels_stats[[#This Row],[subscriber_count]]/yt_sports_channels_stats[[#This Row],[view_count]]</f>
        <v>2.220904831366147E-3</v>
      </c>
      <c r="I38">
        <v>1840000</v>
      </c>
    </row>
    <row r="39" spans="1:9" x14ac:dyDescent="0.25">
      <c r="A39" t="s">
        <v>43</v>
      </c>
      <c r="B39" s="1">
        <v>41899</v>
      </c>
      <c r="C39">
        <f>YEAR(yt_sports_channels_stats[[#This Row],[Start Date]])</f>
        <v>2014</v>
      </c>
      <c r="D39" s="1" t="str">
        <f>IF(YEAR(yt_sports_channels_stats[[#This Row],[Start Date]])&lt;2011,"Old Gen",IF(AND(YEAR(yt_sports_channels_stats[[#This Row],[Start Date]]&gt;2011),YEAR(yt_sports_channels_stats[[#This Row],[Start Date]])&lt;2020),"Mid Gen","New Gen"))</f>
        <v>Mid Gen</v>
      </c>
      <c r="E39">
        <v>9315</v>
      </c>
      <c r="F39">
        <v>226283106</v>
      </c>
      <c r="G39">
        <f>yt_sports_channels_stats[[#This Row],[view_count]]/yt_sports_channels_stats[[#This Row],[video_count]]</f>
        <v>24292.335587761674</v>
      </c>
      <c r="H39" s="4">
        <f>yt_sports_channels_stats[[#This Row],[subscriber_count]]/yt_sports_channels_stats[[#This Row],[view_count]]</f>
        <v>2.7885422431845179E-3</v>
      </c>
      <c r="I39">
        <v>631000</v>
      </c>
    </row>
    <row r="40" spans="1:9" x14ac:dyDescent="0.25">
      <c r="A40" t="s">
        <v>44</v>
      </c>
      <c r="B40" s="1">
        <v>41594</v>
      </c>
      <c r="C40">
        <f>YEAR(yt_sports_channels_stats[[#This Row],[Start Date]])</f>
        <v>2013</v>
      </c>
      <c r="D40" s="1" t="str">
        <f>IF(YEAR(yt_sports_channels_stats[[#This Row],[Start Date]])&lt;2011,"Old Gen",IF(AND(YEAR(yt_sports_channels_stats[[#This Row],[Start Date]]&gt;2011),YEAR(yt_sports_channels_stats[[#This Row],[Start Date]])&lt;2020),"Mid Gen","New Gen"))</f>
        <v>Mid Gen</v>
      </c>
      <c r="E40">
        <v>8583</v>
      </c>
      <c r="F40">
        <v>167598493</v>
      </c>
      <c r="G40">
        <f>yt_sports_channels_stats[[#This Row],[view_count]]/yt_sports_channels_stats[[#This Row],[video_count]]</f>
        <v>19526.796341605499</v>
      </c>
      <c r="H40" s="4">
        <f>yt_sports_channels_stats[[#This Row],[subscriber_count]]/yt_sports_channels_stats[[#This Row],[view_count]]</f>
        <v>1.097861900226036E-3</v>
      </c>
      <c r="I40">
        <v>184000</v>
      </c>
    </row>
    <row r="41" spans="1:9" x14ac:dyDescent="0.25">
      <c r="A41" t="s">
        <v>45</v>
      </c>
      <c r="B41" s="1">
        <v>42983</v>
      </c>
      <c r="C41">
        <f>YEAR(yt_sports_channels_stats[[#This Row],[Start Date]])</f>
        <v>2017</v>
      </c>
      <c r="D41" s="1" t="str">
        <f>IF(YEAR(yt_sports_channels_stats[[#This Row],[Start Date]])&lt;2011,"Old Gen",IF(AND(YEAR(yt_sports_channels_stats[[#This Row],[Start Date]]&gt;2011),YEAR(yt_sports_channels_stats[[#This Row],[Start Date]])&lt;2020),"Mid Gen","New Gen"))</f>
        <v>Mid Gen</v>
      </c>
      <c r="E41">
        <v>28347</v>
      </c>
      <c r="F41">
        <v>2815015958</v>
      </c>
      <c r="G41">
        <f>yt_sports_channels_stats[[#This Row],[view_count]]/yt_sports_channels_stats[[#This Row],[video_count]]</f>
        <v>99305.604049811271</v>
      </c>
      <c r="H41" s="4">
        <f>yt_sports_channels_stats[[#This Row],[subscriber_count]]/yt_sports_channels_stats[[#This Row],[view_count]]</f>
        <v>1.6767222887622436E-3</v>
      </c>
      <c r="I41">
        <v>4720000</v>
      </c>
    </row>
    <row r="42" spans="1:9" x14ac:dyDescent="0.25">
      <c r="A42" t="s">
        <v>46</v>
      </c>
      <c r="B42" s="1">
        <v>43678</v>
      </c>
      <c r="C42">
        <f>YEAR(yt_sports_channels_stats[[#This Row],[Start Date]])</f>
        <v>2019</v>
      </c>
      <c r="D42" s="1" t="str">
        <f>IF(YEAR(yt_sports_channels_stats[[#This Row],[Start Date]])&lt;2011,"Old Gen",IF(AND(YEAR(yt_sports_channels_stats[[#This Row],[Start Date]]&gt;2011),YEAR(yt_sports_channels_stats[[#This Row],[Start Date]])&lt;2020),"Mid Gen","New Gen"))</f>
        <v>Mid Gen</v>
      </c>
      <c r="E42">
        <v>3356</v>
      </c>
      <c r="F42">
        <v>93847583</v>
      </c>
      <c r="G42">
        <f>yt_sports_channels_stats[[#This Row],[view_count]]/yt_sports_channels_stats[[#This Row],[video_count]]</f>
        <v>27964.118891537546</v>
      </c>
      <c r="H42" s="4">
        <f>yt_sports_channels_stats[[#This Row],[subscriber_count]]/yt_sports_channels_stats[[#This Row],[view_count]]</f>
        <v>1.6622697677786758E-3</v>
      </c>
      <c r="I42">
        <v>156000</v>
      </c>
    </row>
    <row r="43" spans="1:9" x14ac:dyDescent="0.25">
      <c r="A43" t="s">
        <v>47</v>
      </c>
      <c r="B43" s="1">
        <v>43599</v>
      </c>
      <c r="C43">
        <f>YEAR(yt_sports_channels_stats[[#This Row],[Start Date]])</f>
        <v>2019</v>
      </c>
      <c r="D43" s="1" t="str">
        <f>IF(YEAR(yt_sports_channels_stats[[#This Row],[Start Date]])&lt;2011,"Old Gen",IF(AND(YEAR(yt_sports_channels_stats[[#This Row],[Start Date]]&gt;2011),YEAR(yt_sports_channels_stats[[#This Row],[Start Date]])&lt;2020),"Mid Gen","New Gen"))</f>
        <v>Mid Gen</v>
      </c>
      <c r="E43">
        <v>648</v>
      </c>
      <c r="F43">
        <v>602688544</v>
      </c>
      <c r="G43">
        <f>yt_sports_channels_stats[[#This Row],[view_count]]/yt_sports_channels_stats[[#This Row],[video_count]]</f>
        <v>930074.91358024697</v>
      </c>
      <c r="H43" s="4">
        <f>yt_sports_channels_stats[[#This Row],[subscriber_count]]/yt_sports_channels_stats[[#This Row],[view_count]]</f>
        <v>2.1570013449600262E-3</v>
      </c>
      <c r="I43">
        <v>1300000</v>
      </c>
    </row>
    <row r="44" spans="1:9" x14ac:dyDescent="0.25">
      <c r="A44" t="s">
        <v>48</v>
      </c>
      <c r="B44" s="1">
        <v>44142</v>
      </c>
      <c r="C44">
        <f>YEAR(yt_sports_channels_stats[[#This Row],[Start Date]])</f>
        <v>2020</v>
      </c>
      <c r="D44" s="1" t="str">
        <f>IF(YEAR(yt_sports_channels_stats[[#This Row],[Start Date]])&lt;2011,"Old Gen",IF(AND(YEAR(yt_sports_channels_stats[[#This Row],[Start Date]]&gt;2011),YEAR(yt_sports_channels_stats[[#This Row],[Start Date]])&lt;2020),"Mid Gen","New Gen"))</f>
        <v>New Gen</v>
      </c>
      <c r="E44">
        <v>921</v>
      </c>
      <c r="F44">
        <v>29314948</v>
      </c>
      <c r="G44">
        <f>yt_sports_channels_stats[[#This Row],[view_count]]/yt_sports_channels_stats[[#This Row],[video_count]]</f>
        <v>31829.476655808903</v>
      </c>
      <c r="H44" s="4">
        <f>yt_sports_channels_stats[[#This Row],[subscriber_count]]/yt_sports_channels_stats[[#This Row],[view_count]]</f>
        <v>2.1217844220634469E-3</v>
      </c>
      <c r="I44">
        <v>62200</v>
      </c>
    </row>
    <row r="45" spans="1:9" x14ac:dyDescent="0.25">
      <c r="A45" t="s">
        <v>49</v>
      </c>
      <c r="B45" s="1">
        <v>41507</v>
      </c>
      <c r="C45">
        <f>YEAR(yt_sports_channels_stats[[#This Row],[Start Date]])</f>
        <v>2013</v>
      </c>
      <c r="D45" s="1" t="str">
        <f>IF(YEAR(yt_sports_channels_stats[[#This Row],[Start Date]])&lt;2011,"Old Gen",IF(AND(YEAR(yt_sports_channels_stats[[#This Row],[Start Date]]&gt;2011),YEAR(yt_sports_channels_stats[[#This Row],[Start Date]])&lt;2020),"Mid Gen","New Gen"))</f>
        <v>Mid Gen</v>
      </c>
      <c r="E45">
        <v>1931</v>
      </c>
      <c r="F45">
        <v>28939093</v>
      </c>
      <c r="G45">
        <f>yt_sports_channels_stats[[#This Row],[view_count]]/yt_sports_channels_stats[[#This Row],[video_count]]</f>
        <v>14986.583635422061</v>
      </c>
      <c r="H45" s="4">
        <f>yt_sports_channels_stats[[#This Row],[subscriber_count]]/yt_sports_channels_stats[[#This Row],[view_count]]</f>
        <v>1.3200137267605451E-3</v>
      </c>
      <c r="I45">
        <v>38200</v>
      </c>
    </row>
    <row r="46" spans="1:9" x14ac:dyDescent="0.25">
      <c r="A46" t="s">
        <v>50</v>
      </c>
      <c r="B46" s="1">
        <v>41044</v>
      </c>
      <c r="C46">
        <f>YEAR(yt_sports_channels_stats[[#This Row],[Start Date]])</f>
        <v>2012</v>
      </c>
      <c r="D46" s="1" t="str">
        <f>IF(YEAR(yt_sports_channels_stats[[#This Row],[Start Date]])&lt;2011,"Old Gen",IF(AND(YEAR(yt_sports_channels_stats[[#This Row],[Start Date]]&gt;2011),YEAR(yt_sports_channels_stats[[#This Row],[Start Date]])&lt;2020),"Mid Gen","New Gen"))</f>
        <v>Mid Gen</v>
      </c>
      <c r="E46">
        <v>14494</v>
      </c>
      <c r="F46">
        <v>1671439264</v>
      </c>
      <c r="G46">
        <f>yt_sports_channels_stats[[#This Row],[view_count]]/yt_sports_channels_stats[[#This Row],[video_count]]</f>
        <v>115319.39174830964</v>
      </c>
      <c r="H46" s="4">
        <f>yt_sports_channels_stats[[#This Row],[subscriber_count]]/yt_sports_channels_stats[[#This Row],[view_count]]</f>
        <v>1.2922994251258657E-3</v>
      </c>
      <c r="I46">
        <v>2160000</v>
      </c>
    </row>
    <row r="47" spans="1:9" x14ac:dyDescent="0.25">
      <c r="A47" t="s">
        <v>51</v>
      </c>
      <c r="B47" s="1">
        <v>41878</v>
      </c>
      <c r="C47">
        <f>YEAR(yt_sports_channels_stats[[#This Row],[Start Date]])</f>
        <v>2014</v>
      </c>
      <c r="D47" s="1" t="str">
        <f>IF(YEAR(yt_sports_channels_stats[[#This Row],[Start Date]])&lt;2011,"Old Gen",IF(AND(YEAR(yt_sports_channels_stats[[#This Row],[Start Date]]&gt;2011),YEAR(yt_sports_channels_stats[[#This Row],[Start Date]])&lt;2020),"Mid Gen","New Gen"))</f>
        <v>Mid Gen</v>
      </c>
      <c r="E47">
        <v>1220</v>
      </c>
      <c r="F47">
        <v>13319963</v>
      </c>
      <c r="G47">
        <f>yt_sports_channels_stats[[#This Row],[view_count]]/yt_sports_channels_stats[[#This Row],[video_count]]</f>
        <v>10918.002459016394</v>
      </c>
      <c r="H47" s="4">
        <f>yt_sports_channels_stats[[#This Row],[subscriber_count]]/yt_sports_channels_stats[[#This Row],[view_count]]</f>
        <v>8.0330553470756641E-3</v>
      </c>
      <c r="I47">
        <v>107000</v>
      </c>
    </row>
    <row r="48" spans="1:9" x14ac:dyDescent="0.25">
      <c r="A48" t="s">
        <v>52</v>
      </c>
      <c r="B48" s="1">
        <v>41530</v>
      </c>
      <c r="C48">
        <f>YEAR(yt_sports_channels_stats[[#This Row],[Start Date]])</f>
        <v>2013</v>
      </c>
      <c r="D48" s="1" t="str">
        <f>IF(YEAR(yt_sports_channels_stats[[#This Row],[Start Date]])&lt;2011,"Old Gen",IF(AND(YEAR(yt_sports_channels_stats[[#This Row],[Start Date]]&gt;2011),YEAR(yt_sports_channels_stats[[#This Row],[Start Date]])&lt;2020),"Mid Gen","New Gen"))</f>
        <v>Mid Gen</v>
      </c>
      <c r="E48">
        <v>1691</v>
      </c>
      <c r="F48">
        <v>4013582</v>
      </c>
      <c r="G48">
        <f>yt_sports_channels_stats[[#This Row],[view_count]]/yt_sports_channels_stats[[#This Row],[video_count]]</f>
        <v>2373.4961561206387</v>
      </c>
      <c r="H48" s="4">
        <f>yt_sports_channels_stats[[#This Row],[subscriber_count]]/yt_sports_channels_stats[[#This Row],[view_count]]</f>
        <v>2.7905247731328277E-3</v>
      </c>
      <c r="I48">
        <v>11200</v>
      </c>
    </row>
    <row r="49" spans="1:9" x14ac:dyDescent="0.25">
      <c r="A49" t="s">
        <v>53</v>
      </c>
      <c r="B49" s="1">
        <v>41739</v>
      </c>
      <c r="C49">
        <f>YEAR(yt_sports_channels_stats[[#This Row],[Start Date]])</f>
        <v>2014</v>
      </c>
      <c r="D49" s="1" t="str">
        <f>IF(YEAR(yt_sports_channels_stats[[#This Row],[Start Date]])&lt;2011,"Old Gen",IF(AND(YEAR(yt_sports_channels_stats[[#This Row],[Start Date]]&gt;2011),YEAR(yt_sports_channels_stats[[#This Row],[Start Date]])&lt;2020),"Mid Gen","New Gen"))</f>
        <v>Mid Gen</v>
      </c>
      <c r="E49">
        <v>8967</v>
      </c>
      <c r="F49">
        <v>270135962</v>
      </c>
      <c r="G49">
        <f>yt_sports_channels_stats[[#This Row],[view_count]]/yt_sports_channels_stats[[#This Row],[video_count]]</f>
        <v>30125.567302330768</v>
      </c>
      <c r="H49" s="4">
        <f>yt_sports_channels_stats[[#This Row],[subscriber_count]]/yt_sports_channels_stats[[#This Row],[view_count]]</f>
        <v>3.0132974298327595E-3</v>
      </c>
      <c r="I49">
        <v>814000</v>
      </c>
    </row>
    <row r="50" spans="1:9" x14ac:dyDescent="0.25">
      <c r="A50" t="s">
        <v>54</v>
      </c>
      <c r="B50" s="1">
        <v>44008</v>
      </c>
      <c r="C50">
        <f>YEAR(yt_sports_channels_stats[[#This Row],[Start Date]])</f>
        <v>2020</v>
      </c>
      <c r="D50" s="1" t="str">
        <f>IF(YEAR(yt_sports_channels_stats[[#This Row],[Start Date]])&lt;2011,"Old Gen",IF(AND(YEAR(yt_sports_channels_stats[[#This Row],[Start Date]]&gt;2011),YEAR(yt_sports_channels_stats[[#This Row],[Start Date]])&lt;2020),"Mid Gen","New Gen"))</f>
        <v>New Gen</v>
      </c>
      <c r="E50">
        <v>6384</v>
      </c>
      <c r="F50">
        <v>1545164679</v>
      </c>
      <c r="G50">
        <f>yt_sports_channels_stats[[#This Row],[view_count]]/yt_sports_channels_stats[[#This Row],[video_count]]</f>
        <v>242037.07377819548</v>
      </c>
      <c r="H50" s="4">
        <f>yt_sports_channels_stats[[#This Row],[subscriber_count]]/yt_sports_channels_stats[[#This Row],[view_count]]</f>
        <v>1.0160729282370556E-3</v>
      </c>
      <c r="I50">
        <v>1570000</v>
      </c>
    </row>
    <row r="51" spans="1:9" x14ac:dyDescent="0.25">
      <c r="A51" t="s">
        <v>55</v>
      </c>
      <c r="B51" s="1">
        <v>44093</v>
      </c>
      <c r="C51">
        <f>YEAR(yt_sports_channels_stats[[#This Row],[Start Date]])</f>
        <v>2020</v>
      </c>
      <c r="D51" s="1" t="str">
        <f>IF(YEAR(yt_sports_channels_stats[[#This Row],[Start Date]])&lt;2011,"Old Gen",IF(AND(YEAR(yt_sports_channels_stats[[#This Row],[Start Date]]&gt;2011),YEAR(yt_sports_channels_stats[[#This Row],[Start Date]])&lt;2020),"Mid Gen","New Gen"))</f>
        <v>New Gen</v>
      </c>
      <c r="E51">
        <v>13336</v>
      </c>
      <c r="F51">
        <v>129998649</v>
      </c>
      <c r="G51">
        <f>yt_sports_channels_stats[[#This Row],[view_count]]/yt_sports_channels_stats[[#This Row],[video_count]]</f>
        <v>9747.9490851829632</v>
      </c>
      <c r="H51" s="4">
        <f>yt_sports_channels_stats[[#This Row],[subscriber_count]]/yt_sports_channels_stats[[#This Row],[view_count]]</f>
        <v>2.0230979477332874E-3</v>
      </c>
      <c r="I51">
        <v>263000</v>
      </c>
    </row>
    <row r="52" spans="1:9" x14ac:dyDescent="0.25">
      <c r="A52" t="s">
        <v>56</v>
      </c>
      <c r="B52" s="1">
        <v>41348</v>
      </c>
      <c r="C52">
        <f>YEAR(yt_sports_channels_stats[[#This Row],[Start Date]])</f>
        <v>2013</v>
      </c>
      <c r="D52" s="1" t="str">
        <f>IF(YEAR(yt_sports_channels_stats[[#This Row],[Start Date]])&lt;2011,"Old Gen",IF(AND(YEAR(yt_sports_channels_stats[[#This Row],[Start Date]]&gt;2011),YEAR(yt_sports_channels_stats[[#This Row],[Start Date]])&lt;2020),"Mid Gen","New Gen"))</f>
        <v>Mid Gen</v>
      </c>
      <c r="E52">
        <v>3609</v>
      </c>
      <c r="F52">
        <v>5010836</v>
      </c>
      <c r="G52">
        <f>yt_sports_channels_stats[[#This Row],[view_count]]/yt_sports_channels_stats[[#This Row],[video_count]]</f>
        <v>1388.4278193405376</v>
      </c>
      <c r="H52" s="4">
        <f>yt_sports_channels_stats[[#This Row],[subscriber_count]]/yt_sports_channels_stats[[#This Row],[view_count]]</f>
        <v>2.4945937164976063E-3</v>
      </c>
      <c r="I52">
        <v>12500</v>
      </c>
    </row>
    <row r="53" spans="1:9" x14ac:dyDescent="0.25">
      <c r="A53" t="s">
        <v>57</v>
      </c>
      <c r="B53" s="1">
        <v>41586</v>
      </c>
      <c r="C53">
        <f>YEAR(yt_sports_channels_stats[[#This Row],[Start Date]])</f>
        <v>2013</v>
      </c>
      <c r="D53" s="1" t="str">
        <f>IF(YEAR(yt_sports_channels_stats[[#This Row],[Start Date]])&lt;2011,"Old Gen",IF(AND(YEAR(yt_sports_channels_stats[[#This Row],[Start Date]]&gt;2011),YEAR(yt_sports_channels_stats[[#This Row],[Start Date]])&lt;2020),"Mid Gen","New Gen"))</f>
        <v>Mid Gen</v>
      </c>
      <c r="E53">
        <v>4630</v>
      </c>
      <c r="F53">
        <v>38068947</v>
      </c>
      <c r="G53">
        <f>yt_sports_channels_stats[[#This Row],[view_count]]/yt_sports_channels_stats[[#This Row],[video_count]]</f>
        <v>8222.2347732181424</v>
      </c>
      <c r="H53" s="4">
        <f>yt_sports_channels_stats[[#This Row],[subscriber_count]]/yt_sports_channels_stats[[#This Row],[view_count]]</f>
        <v>1.5130442142253107E-3</v>
      </c>
      <c r="I53">
        <v>57600</v>
      </c>
    </row>
    <row r="54" spans="1:9" x14ac:dyDescent="0.25">
      <c r="A54" t="s">
        <v>58</v>
      </c>
      <c r="B54" s="1">
        <v>39934</v>
      </c>
      <c r="C54">
        <f>YEAR(yt_sports_channels_stats[[#This Row],[Start Date]])</f>
        <v>2009</v>
      </c>
      <c r="D54" s="1" t="str">
        <f>IF(YEAR(yt_sports_channels_stats[[#This Row],[Start Date]])&lt;2011,"Old Gen",IF(AND(YEAR(yt_sports_channels_stats[[#This Row],[Start Date]]&gt;2011),YEAR(yt_sports_channels_stats[[#This Row],[Start Date]])&lt;2020),"Mid Gen","New Gen"))</f>
        <v>Old Gen</v>
      </c>
      <c r="E54">
        <v>18050</v>
      </c>
      <c r="F54">
        <v>1062222686</v>
      </c>
      <c r="G54">
        <f>yt_sports_channels_stats[[#This Row],[view_count]]/yt_sports_channels_stats[[#This Row],[video_count]]</f>
        <v>58848.902271468141</v>
      </c>
      <c r="H54" s="4">
        <f>yt_sports_channels_stats[[#This Row],[subscriber_count]]/yt_sports_channels_stats[[#This Row],[view_count]]</f>
        <v>1.3650621655052846E-3</v>
      </c>
      <c r="I54">
        <v>1450000</v>
      </c>
    </row>
    <row r="55" spans="1:9" x14ac:dyDescent="0.25">
      <c r="A55" t="s">
        <v>59</v>
      </c>
      <c r="B55" s="1">
        <v>38713</v>
      </c>
      <c r="C55">
        <f>YEAR(yt_sports_channels_stats[[#This Row],[Start Date]])</f>
        <v>2005</v>
      </c>
      <c r="D55" s="1" t="str">
        <f>IF(YEAR(yt_sports_channels_stats[[#This Row],[Start Date]])&lt;2011,"Old Gen",IF(AND(YEAR(yt_sports_channels_stats[[#This Row],[Start Date]]&gt;2011),YEAR(yt_sports_channels_stats[[#This Row],[Start Date]])&lt;2020),"Mid Gen","New Gen"))</f>
        <v>Old Gen</v>
      </c>
      <c r="E55">
        <v>553</v>
      </c>
      <c r="F55">
        <v>276632815</v>
      </c>
      <c r="G55">
        <f>yt_sports_channels_stats[[#This Row],[view_count]]/yt_sports_channels_stats[[#This Row],[video_count]]</f>
        <v>500240.17179023509</v>
      </c>
      <c r="H55" s="4">
        <f>yt_sports_channels_stats[[#This Row],[subscriber_count]]/yt_sports_channels_stats[[#This Row],[view_count]]</f>
        <v>3.9402411460115463E-3</v>
      </c>
      <c r="I55">
        <v>1090000</v>
      </c>
    </row>
    <row r="56" spans="1:9" x14ac:dyDescent="0.25">
      <c r="A56" t="s">
        <v>60</v>
      </c>
      <c r="B56" s="1">
        <v>39062</v>
      </c>
      <c r="C56">
        <f>YEAR(yt_sports_channels_stats[[#This Row],[Start Date]])</f>
        <v>2006</v>
      </c>
      <c r="D56" s="1" t="str">
        <f>IF(YEAR(yt_sports_channels_stats[[#This Row],[Start Date]])&lt;2011,"Old Gen",IF(AND(YEAR(yt_sports_channels_stats[[#This Row],[Start Date]]&gt;2011),YEAR(yt_sports_channels_stats[[#This Row],[Start Date]])&lt;2020),"Mid Gen","New Gen"))</f>
        <v>Old Gen</v>
      </c>
      <c r="E56">
        <v>18330</v>
      </c>
      <c r="F56">
        <v>2701624691</v>
      </c>
      <c r="G56">
        <f>yt_sports_channels_stats[[#This Row],[view_count]]/yt_sports_channels_stats[[#This Row],[video_count]]</f>
        <v>147388.14462629569</v>
      </c>
      <c r="H56" s="4">
        <f>yt_sports_channels_stats[[#This Row],[subscriber_count]]/yt_sports_channels_stats[[#This Row],[view_count]]</f>
        <v>2.6687644749542306E-3</v>
      </c>
      <c r="I56">
        <v>7210000</v>
      </c>
    </row>
    <row r="57" spans="1:9" x14ac:dyDescent="0.25">
      <c r="A57" t="s">
        <v>61</v>
      </c>
      <c r="B57" s="1">
        <v>42502</v>
      </c>
      <c r="C57">
        <f>YEAR(yt_sports_channels_stats[[#This Row],[Start Date]])</f>
        <v>2016</v>
      </c>
      <c r="D57" s="1" t="str">
        <f>IF(YEAR(yt_sports_channels_stats[[#This Row],[Start Date]])&lt;2011,"Old Gen",IF(AND(YEAR(yt_sports_channels_stats[[#This Row],[Start Date]]&gt;2011),YEAR(yt_sports_channels_stats[[#This Row],[Start Date]])&lt;2020),"Mid Gen","New Gen"))</f>
        <v>Mid Gen</v>
      </c>
      <c r="E57">
        <v>406</v>
      </c>
      <c r="F57">
        <v>76611108</v>
      </c>
      <c r="G57">
        <f>yt_sports_channels_stats[[#This Row],[view_count]]/yt_sports_channels_stats[[#This Row],[video_count]]</f>
        <v>188697.31034482759</v>
      </c>
      <c r="H57" s="4">
        <f>yt_sports_channels_stats[[#This Row],[subscriber_count]]/yt_sports_channels_stats[[#This Row],[view_count]]</f>
        <v>4.5032634171013426E-3</v>
      </c>
      <c r="I57">
        <v>345000</v>
      </c>
    </row>
    <row r="58" spans="1:9" x14ac:dyDescent="0.25">
      <c r="A58" t="s">
        <v>62</v>
      </c>
      <c r="B58" s="1">
        <v>41989</v>
      </c>
      <c r="C58">
        <f>YEAR(yt_sports_channels_stats[[#This Row],[Start Date]])</f>
        <v>2014</v>
      </c>
      <c r="D58" s="1" t="str">
        <f>IF(YEAR(yt_sports_channels_stats[[#This Row],[Start Date]])&lt;2011,"Old Gen",IF(AND(YEAR(yt_sports_channels_stats[[#This Row],[Start Date]]&gt;2011),YEAR(yt_sports_channels_stats[[#This Row],[Start Date]])&lt;2020),"Mid Gen","New Gen"))</f>
        <v>Mid Gen</v>
      </c>
      <c r="E58">
        <v>8772</v>
      </c>
      <c r="F58">
        <v>113424546</v>
      </c>
      <c r="G58">
        <f>yt_sports_channels_stats[[#This Row],[view_count]]/yt_sports_channels_stats[[#This Row],[video_count]]</f>
        <v>12930.294801641587</v>
      </c>
      <c r="H58" s="4">
        <f>yt_sports_channels_stats[[#This Row],[subscriber_count]]/yt_sports_channels_stats[[#This Row],[view_count]]</f>
        <v>3.2091818996568874E-3</v>
      </c>
      <c r="I58">
        <v>364000</v>
      </c>
    </row>
    <row r="59" spans="1:9" x14ac:dyDescent="0.25">
      <c r="A59" t="s">
        <v>63</v>
      </c>
      <c r="B59" s="1">
        <v>42523</v>
      </c>
      <c r="C59">
        <f>YEAR(yt_sports_channels_stats[[#This Row],[Start Date]])</f>
        <v>2016</v>
      </c>
      <c r="D59" s="1" t="str">
        <f>IF(YEAR(yt_sports_channels_stats[[#This Row],[Start Date]])&lt;2011,"Old Gen",IF(AND(YEAR(yt_sports_channels_stats[[#This Row],[Start Date]]&gt;2011),YEAR(yt_sports_channels_stats[[#This Row],[Start Date]])&lt;2020),"Mid Gen","New Gen"))</f>
        <v>Mid Gen</v>
      </c>
      <c r="E59">
        <v>1069</v>
      </c>
      <c r="F59">
        <v>155741890</v>
      </c>
      <c r="G59">
        <f>yt_sports_channels_stats[[#This Row],[view_count]]/yt_sports_channels_stats[[#This Row],[video_count]]</f>
        <v>145689.32647333958</v>
      </c>
      <c r="H59" s="4">
        <f>yt_sports_channels_stats[[#This Row],[subscriber_count]]/yt_sports_channels_stats[[#This Row],[view_count]]</f>
        <v>1.8813178650907601E-3</v>
      </c>
      <c r="I59">
        <v>293000</v>
      </c>
    </row>
    <row r="60" spans="1:9" x14ac:dyDescent="0.25">
      <c r="A60" t="s">
        <v>64</v>
      </c>
      <c r="B60" s="1">
        <v>44049</v>
      </c>
      <c r="C60">
        <f>YEAR(yt_sports_channels_stats[[#This Row],[Start Date]])</f>
        <v>2020</v>
      </c>
      <c r="D60" s="1" t="str">
        <f>IF(YEAR(yt_sports_channels_stats[[#This Row],[Start Date]])&lt;2011,"Old Gen",IF(AND(YEAR(yt_sports_channels_stats[[#This Row],[Start Date]]&gt;2011),YEAR(yt_sports_channels_stats[[#This Row],[Start Date]])&lt;2020),"Mid Gen","New Gen"))</f>
        <v>New Gen</v>
      </c>
      <c r="E60">
        <v>7571</v>
      </c>
      <c r="F60">
        <v>33560724</v>
      </c>
      <c r="G60">
        <f>yt_sports_channels_stats[[#This Row],[view_count]]/yt_sports_channels_stats[[#This Row],[video_count]]</f>
        <v>4432.7993660018492</v>
      </c>
      <c r="H60" s="4">
        <f>yt_sports_channels_stats[[#This Row],[subscriber_count]]/yt_sports_channels_stats[[#This Row],[view_count]]</f>
        <v>1.8622959385500742E-3</v>
      </c>
      <c r="I60">
        <v>62500</v>
      </c>
    </row>
    <row r="61" spans="1:9" x14ac:dyDescent="0.25">
      <c r="A61" t="s">
        <v>65</v>
      </c>
      <c r="B61" s="1">
        <v>43660</v>
      </c>
      <c r="C61">
        <f>YEAR(yt_sports_channels_stats[[#This Row],[Start Date]])</f>
        <v>2019</v>
      </c>
      <c r="D61" s="1" t="str">
        <f>IF(YEAR(yt_sports_channels_stats[[#This Row],[Start Date]])&lt;2011,"Old Gen",IF(AND(YEAR(yt_sports_channels_stats[[#This Row],[Start Date]]&gt;2011),YEAR(yt_sports_channels_stats[[#This Row],[Start Date]])&lt;2020),"Mid Gen","New Gen"))</f>
        <v>Mid Gen</v>
      </c>
      <c r="E61">
        <v>1437</v>
      </c>
      <c r="F61">
        <v>1898880</v>
      </c>
      <c r="G61">
        <f>yt_sports_channels_stats[[#This Row],[view_count]]/yt_sports_channels_stats[[#This Row],[video_count]]</f>
        <v>1321.419624217119</v>
      </c>
      <c r="H61" s="4">
        <f>yt_sports_channels_stats[[#This Row],[subscriber_count]]/yt_sports_channels_stats[[#This Row],[view_count]]</f>
        <v>6.1615267947421641E-3</v>
      </c>
      <c r="I61">
        <v>11700</v>
      </c>
    </row>
    <row r="62" spans="1:9" x14ac:dyDescent="0.25">
      <c r="A62" t="s">
        <v>66</v>
      </c>
      <c r="B62" s="1">
        <v>39877</v>
      </c>
      <c r="C62">
        <f>YEAR(yt_sports_channels_stats[[#This Row],[Start Date]])</f>
        <v>2009</v>
      </c>
      <c r="D62" s="1" t="str">
        <f>IF(YEAR(yt_sports_channels_stats[[#This Row],[Start Date]])&lt;2011,"Old Gen",IF(AND(YEAR(yt_sports_channels_stats[[#This Row],[Start Date]]&gt;2011),YEAR(yt_sports_channels_stats[[#This Row],[Start Date]])&lt;2020),"Mid Gen","New Gen"))</f>
        <v>Old Gen</v>
      </c>
      <c r="E62">
        <v>10894</v>
      </c>
      <c r="F62">
        <v>18285762</v>
      </c>
      <c r="G62">
        <f>yt_sports_channels_stats[[#This Row],[view_count]]/yt_sports_channels_stats[[#This Row],[video_count]]</f>
        <v>1678.5167982375619</v>
      </c>
      <c r="H62" s="4">
        <f>yt_sports_channels_stats[[#This Row],[subscriber_count]]/yt_sports_channels_stats[[#This Row],[view_count]]</f>
        <v>1.3179653109342668E-3</v>
      </c>
      <c r="I62">
        <v>24100</v>
      </c>
    </row>
    <row r="63" spans="1:9" x14ac:dyDescent="0.25">
      <c r="A63" t="s">
        <v>67</v>
      </c>
      <c r="B63" s="1">
        <v>39435</v>
      </c>
      <c r="C63">
        <f>YEAR(yt_sports_channels_stats[[#This Row],[Start Date]])</f>
        <v>2007</v>
      </c>
      <c r="D63" s="1" t="str">
        <f>IF(YEAR(yt_sports_channels_stats[[#This Row],[Start Date]])&lt;2011,"Old Gen",IF(AND(YEAR(yt_sports_channels_stats[[#This Row],[Start Date]]&gt;2011),YEAR(yt_sports_channels_stats[[#This Row],[Start Date]])&lt;2020),"Mid Gen","New Gen"))</f>
        <v>Old Gen</v>
      </c>
      <c r="E63">
        <v>2420</v>
      </c>
      <c r="F63">
        <v>8876448</v>
      </c>
      <c r="G63">
        <f>yt_sports_channels_stats[[#This Row],[view_count]]/yt_sports_channels_stats[[#This Row],[video_count]]</f>
        <v>3667.9537190082647</v>
      </c>
      <c r="H63" s="4">
        <f>yt_sports_channels_stats[[#This Row],[subscriber_count]]/yt_sports_channels_stats[[#This Row],[view_count]]</f>
        <v>4.9231404273421082E-3</v>
      </c>
      <c r="I63">
        <v>43700</v>
      </c>
    </row>
    <row r="64" spans="1:9" x14ac:dyDescent="0.25">
      <c r="A64" t="s">
        <v>68</v>
      </c>
      <c r="B64" s="1">
        <v>42709</v>
      </c>
      <c r="C64">
        <f>YEAR(yt_sports_channels_stats[[#This Row],[Start Date]])</f>
        <v>2016</v>
      </c>
      <c r="D64" s="1" t="str">
        <f>IF(YEAR(yt_sports_channels_stats[[#This Row],[Start Date]])&lt;2011,"Old Gen",IF(AND(YEAR(yt_sports_channels_stats[[#This Row],[Start Date]]&gt;2011),YEAR(yt_sports_channels_stats[[#This Row],[Start Date]])&lt;2020),"Mid Gen","New Gen"))</f>
        <v>Mid Gen</v>
      </c>
      <c r="E64">
        <v>127</v>
      </c>
      <c r="F64">
        <v>3287649</v>
      </c>
      <c r="G64">
        <f>yt_sports_channels_stats[[#This Row],[view_count]]/yt_sports_channels_stats[[#This Row],[video_count]]</f>
        <v>25887</v>
      </c>
      <c r="H64" s="4">
        <f>yt_sports_channels_stats[[#This Row],[subscriber_count]]/yt_sports_channels_stats[[#This Row],[view_count]]</f>
        <v>7.3608831113053733E-3</v>
      </c>
      <c r="I64">
        <v>24200</v>
      </c>
    </row>
    <row r="65" spans="1:9" x14ac:dyDescent="0.25">
      <c r="A65" t="s">
        <v>69</v>
      </c>
      <c r="B65" s="1">
        <v>41219</v>
      </c>
      <c r="C65">
        <f>YEAR(yt_sports_channels_stats[[#This Row],[Start Date]])</f>
        <v>2012</v>
      </c>
      <c r="D65" s="1" t="str">
        <f>IF(YEAR(yt_sports_channels_stats[[#This Row],[Start Date]])&lt;2011,"Old Gen",IF(AND(YEAR(yt_sports_channels_stats[[#This Row],[Start Date]]&gt;2011),YEAR(yt_sports_channels_stats[[#This Row],[Start Date]])&lt;2020),"Mid Gen","New Gen"))</f>
        <v>Mid Gen</v>
      </c>
      <c r="E65">
        <v>22781</v>
      </c>
      <c r="F65">
        <v>573717519</v>
      </c>
      <c r="G65">
        <f>yt_sports_channels_stats[[#This Row],[view_count]]/yt_sports_channels_stats[[#This Row],[video_count]]</f>
        <v>25184.035775426892</v>
      </c>
      <c r="H65" s="4">
        <f>yt_sports_channels_stats[[#This Row],[subscriber_count]]/yt_sports_channels_stats[[#This Row],[view_count]]</f>
        <v>2.3705045688172544E-3</v>
      </c>
      <c r="I65">
        <v>1360000</v>
      </c>
    </row>
    <row r="66" spans="1:9" x14ac:dyDescent="0.25">
      <c r="A66" t="s">
        <v>70</v>
      </c>
      <c r="B66" s="1">
        <v>44774</v>
      </c>
      <c r="C66">
        <f>YEAR(yt_sports_channels_stats[[#This Row],[Start Date]])</f>
        <v>2022</v>
      </c>
      <c r="D66" s="1" t="str">
        <f>IF(YEAR(yt_sports_channels_stats[[#This Row],[Start Date]])&lt;2011,"Old Gen",IF(AND(YEAR(yt_sports_channels_stats[[#This Row],[Start Date]]&gt;2011),YEAR(yt_sports_channels_stats[[#This Row],[Start Date]])&lt;2020),"Mid Gen","New Gen"))</f>
        <v>New Gen</v>
      </c>
      <c r="E66">
        <v>1948</v>
      </c>
      <c r="F66">
        <v>391177035</v>
      </c>
      <c r="G66">
        <f>yt_sports_channels_stats[[#This Row],[view_count]]/yt_sports_channels_stats[[#This Row],[video_count]]</f>
        <v>200809.56622176591</v>
      </c>
      <c r="H66" s="4">
        <f>yt_sports_channels_stats[[#This Row],[subscriber_count]]/yt_sports_channels_stats[[#This Row],[view_count]]</f>
        <v>1.0455624011772573E-3</v>
      </c>
      <c r="I66">
        <v>409000</v>
      </c>
    </row>
    <row r="67" spans="1:9" x14ac:dyDescent="0.25">
      <c r="A67" t="s">
        <v>71</v>
      </c>
      <c r="B67" s="1">
        <v>40975</v>
      </c>
      <c r="C67">
        <f>YEAR(yt_sports_channels_stats[[#This Row],[Start Date]])</f>
        <v>2012</v>
      </c>
      <c r="D67" s="1" t="str">
        <f>IF(YEAR(yt_sports_channels_stats[[#This Row],[Start Date]])&lt;2011,"Old Gen",IF(AND(YEAR(yt_sports_channels_stats[[#This Row],[Start Date]]&gt;2011),YEAR(yt_sports_channels_stats[[#This Row],[Start Date]])&lt;2020),"Mid Gen","New Gen"))</f>
        <v>Mid Gen</v>
      </c>
      <c r="E67">
        <v>1513</v>
      </c>
      <c r="F67">
        <v>67748322</v>
      </c>
      <c r="G67">
        <f>yt_sports_channels_stats[[#This Row],[view_count]]/yt_sports_channels_stats[[#This Row],[video_count]]</f>
        <v>44777.476536682087</v>
      </c>
      <c r="H67" s="4">
        <f>yt_sports_channels_stats[[#This Row],[subscriber_count]]/yt_sports_channels_stats[[#This Row],[view_count]]</f>
        <v>1.889345687410531E-3</v>
      </c>
      <c r="I67">
        <v>128000</v>
      </c>
    </row>
    <row r="68" spans="1:9" x14ac:dyDescent="0.25">
      <c r="A68" t="s">
        <v>72</v>
      </c>
      <c r="B68" s="1">
        <v>44308</v>
      </c>
      <c r="C68">
        <f>YEAR(yt_sports_channels_stats[[#This Row],[Start Date]])</f>
        <v>2021</v>
      </c>
      <c r="D68" s="1" t="str">
        <f>IF(YEAR(yt_sports_channels_stats[[#This Row],[Start Date]])&lt;2011,"Old Gen",IF(AND(YEAR(yt_sports_channels_stats[[#This Row],[Start Date]]&gt;2011),YEAR(yt_sports_channels_stats[[#This Row],[Start Date]])&lt;2020),"Mid Gen","New Gen"))</f>
        <v>New Gen</v>
      </c>
      <c r="E68">
        <v>4352</v>
      </c>
      <c r="F68">
        <v>266044067</v>
      </c>
      <c r="G68">
        <f>yt_sports_channels_stats[[#This Row],[view_count]]/yt_sports_channels_stats[[#This Row],[video_count]]</f>
        <v>61131.44921875</v>
      </c>
      <c r="H68" s="4">
        <f>yt_sports_channels_stats[[#This Row],[subscriber_count]]/yt_sports_channels_stats[[#This Row],[view_count]]</f>
        <v>1.9658397418800548E-3</v>
      </c>
      <c r="I68">
        <v>523000</v>
      </c>
    </row>
    <row r="69" spans="1:9" x14ac:dyDescent="0.25">
      <c r="A69" t="s">
        <v>73</v>
      </c>
      <c r="B69" s="1">
        <v>40373</v>
      </c>
      <c r="C69">
        <f>YEAR(yt_sports_channels_stats[[#This Row],[Start Date]])</f>
        <v>2010</v>
      </c>
      <c r="D69" s="1" t="str">
        <f>IF(YEAR(yt_sports_channels_stats[[#This Row],[Start Date]])&lt;2011,"Old Gen",IF(AND(YEAR(yt_sports_channels_stats[[#This Row],[Start Date]]&gt;2011),YEAR(yt_sports_channels_stats[[#This Row],[Start Date]])&lt;2020),"Mid Gen","New Gen"))</f>
        <v>Old Gen</v>
      </c>
      <c r="E69">
        <v>1499</v>
      </c>
      <c r="F69">
        <v>2194603</v>
      </c>
      <c r="G69">
        <f>yt_sports_channels_stats[[#This Row],[view_count]]/yt_sports_channels_stats[[#This Row],[video_count]]</f>
        <v>1464.0446964643095</v>
      </c>
      <c r="H69" s="4">
        <f>yt_sports_channels_stats[[#This Row],[subscriber_count]]/yt_sports_channels_stats[[#This Row],[view_count]]</f>
        <v>6.0147552883141053E-3</v>
      </c>
      <c r="I69">
        <v>13200</v>
      </c>
    </row>
    <row r="70" spans="1:9" x14ac:dyDescent="0.25">
      <c r="A70" t="s">
        <v>74</v>
      </c>
      <c r="B70" s="1">
        <v>44706</v>
      </c>
      <c r="C70">
        <f>YEAR(yt_sports_channels_stats[[#This Row],[Start Date]])</f>
        <v>2022</v>
      </c>
      <c r="D70" s="1" t="str">
        <f>IF(YEAR(yt_sports_channels_stats[[#This Row],[Start Date]])&lt;2011,"Old Gen",IF(AND(YEAR(yt_sports_channels_stats[[#This Row],[Start Date]]&gt;2011),YEAR(yt_sports_channels_stats[[#This Row],[Start Date]])&lt;2020),"Mid Gen","New Gen"))</f>
        <v>New Gen</v>
      </c>
      <c r="E70">
        <v>2243</v>
      </c>
      <c r="F70">
        <v>3857105</v>
      </c>
      <c r="G70">
        <f>yt_sports_channels_stats[[#This Row],[view_count]]/yt_sports_channels_stats[[#This Row],[video_count]]</f>
        <v>1719.6188140882746</v>
      </c>
      <c r="H70" s="4">
        <f>yt_sports_channels_stats[[#This Row],[subscriber_count]]/yt_sports_channels_stats[[#This Row],[view_count]]</f>
        <v>1.9859454176124323E-3</v>
      </c>
      <c r="I70">
        <v>7660</v>
      </c>
    </row>
    <row r="71" spans="1:9" x14ac:dyDescent="0.25">
      <c r="A71" t="s">
        <v>75</v>
      </c>
      <c r="B71" s="1">
        <v>39471</v>
      </c>
      <c r="C71">
        <f>YEAR(yt_sports_channels_stats[[#This Row],[Start Date]])</f>
        <v>2008</v>
      </c>
      <c r="D71" s="1" t="str">
        <f>IF(YEAR(yt_sports_channels_stats[[#This Row],[Start Date]])&lt;2011,"Old Gen",IF(AND(YEAR(yt_sports_channels_stats[[#This Row],[Start Date]]&gt;2011),YEAR(yt_sports_channels_stats[[#This Row],[Start Date]])&lt;2020),"Mid Gen","New Gen"))</f>
        <v>Old Gen</v>
      </c>
      <c r="E71">
        <v>1809</v>
      </c>
      <c r="F71">
        <v>19705071</v>
      </c>
      <c r="G71">
        <f>yt_sports_channels_stats[[#This Row],[view_count]]/yt_sports_channels_stats[[#This Row],[video_count]]</f>
        <v>10892.79767827529</v>
      </c>
      <c r="H71" s="4">
        <f>yt_sports_channels_stats[[#This Row],[subscriber_count]]/yt_sports_channels_stats[[#This Row],[view_count]]</f>
        <v>4.0294196351791881E-3</v>
      </c>
      <c r="I71">
        <v>79400</v>
      </c>
    </row>
    <row r="72" spans="1:9" x14ac:dyDescent="0.25">
      <c r="A72" t="s">
        <v>76</v>
      </c>
      <c r="B72" s="1">
        <v>43741</v>
      </c>
      <c r="C72">
        <f>YEAR(yt_sports_channels_stats[[#This Row],[Start Date]])</f>
        <v>2019</v>
      </c>
      <c r="D72" s="1" t="str">
        <f>IF(YEAR(yt_sports_channels_stats[[#This Row],[Start Date]])&lt;2011,"Old Gen",IF(AND(YEAR(yt_sports_channels_stats[[#This Row],[Start Date]]&gt;2011),YEAR(yt_sports_channels_stats[[#This Row],[Start Date]])&lt;2020),"Mid Gen","New Gen"))</f>
        <v>Mid Gen</v>
      </c>
      <c r="E72">
        <v>1020</v>
      </c>
      <c r="F72">
        <v>174427522</v>
      </c>
      <c r="G72">
        <f>yt_sports_channels_stats[[#This Row],[view_count]]/yt_sports_channels_stats[[#This Row],[video_count]]</f>
        <v>171007.37450980392</v>
      </c>
      <c r="H72" s="4">
        <f>yt_sports_channels_stats[[#This Row],[subscriber_count]]/yt_sports_channels_stats[[#This Row],[view_count]]</f>
        <v>5.4750534150224302E-3</v>
      </c>
      <c r="I72">
        <v>955000</v>
      </c>
    </row>
    <row r="73" spans="1:9" x14ac:dyDescent="0.25">
      <c r="A73" t="s">
        <v>77</v>
      </c>
      <c r="B73" s="1">
        <v>44636</v>
      </c>
      <c r="C73">
        <f>YEAR(yt_sports_channels_stats[[#This Row],[Start Date]])</f>
        <v>2022</v>
      </c>
      <c r="D73" s="1" t="str">
        <f>IF(YEAR(yt_sports_channels_stats[[#This Row],[Start Date]])&lt;2011,"Old Gen",IF(AND(YEAR(yt_sports_channels_stats[[#This Row],[Start Date]]&gt;2011),YEAR(yt_sports_channels_stats[[#This Row],[Start Date]])&lt;2020),"Mid Gen","New Gen"))</f>
        <v>New Gen</v>
      </c>
      <c r="E73">
        <v>1878</v>
      </c>
      <c r="F73">
        <v>2070382</v>
      </c>
      <c r="G73">
        <f>yt_sports_channels_stats[[#This Row],[view_count]]/yt_sports_channels_stats[[#This Row],[video_count]]</f>
        <v>1102.4398296059637</v>
      </c>
      <c r="H73" s="4">
        <f>yt_sports_channels_stats[[#This Row],[subscriber_count]]/yt_sports_channels_stats[[#This Row],[view_count]]</f>
        <v>3.3472083895628923E-3</v>
      </c>
      <c r="I73">
        <v>6930</v>
      </c>
    </row>
    <row r="74" spans="1:9" x14ac:dyDescent="0.25">
      <c r="A74" t="s">
        <v>78</v>
      </c>
      <c r="B74" s="1">
        <v>41684</v>
      </c>
      <c r="C74">
        <f>YEAR(yt_sports_channels_stats[[#This Row],[Start Date]])</f>
        <v>2014</v>
      </c>
      <c r="D74" s="1" t="str">
        <f>IF(YEAR(yt_sports_channels_stats[[#This Row],[Start Date]])&lt;2011,"Old Gen",IF(AND(YEAR(yt_sports_channels_stats[[#This Row],[Start Date]]&gt;2011),YEAR(yt_sports_channels_stats[[#This Row],[Start Date]])&lt;2020),"Mid Gen","New Gen"))</f>
        <v>Mid Gen</v>
      </c>
      <c r="E74">
        <v>3166</v>
      </c>
      <c r="F74">
        <v>237781692</v>
      </c>
      <c r="G74">
        <f>yt_sports_channels_stats[[#This Row],[view_count]]/yt_sports_channels_stats[[#This Row],[video_count]]</f>
        <v>75104.766898294372</v>
      </c>
      <c r="H74" s="4">
        <f>yt_sports_channels_stats[[#This Row],[subscriber_count]]/yt_sports_channels_stats[[#This Row],[view_count]]</f>
        <v>4.4999259236493281E-3</v>
      </c>
      <c r="I74">
        <v>1070000</v>
      </c>
    </row>
    <row r="75" spans="1:9" x14ac:dyDescent="0.25">
      <c r="A75" t="s">
        <v>79</v>
      </c>
      <c r="B75" s="1">
        <v>44460</v>
      </c>
      <c r="C75">
        <f>YEAR(yt_sports_channels_stats[[#This Row],[Start Date]])</f>
        <v>2021</v>
      </c>
      <c r="D75" s="1" t="str">
        <f>IF(YEAR(yt_sports_channels_stats[[#This Row],[Start Date]])&lt;2011,"Old Gen",IF(AND(YEAR(yt_sports_channels_stats[[#This Row],[Start Date]]&gt;2011),YEAR(yt_sports_channels_stats[[#This Row],[Start Date]])&lt;2020),"Mid Gen","New Gen"))</f>
        <v>New Gen</v>
      </c>
      <c r="E75">
        <v>17</v>
      </c>
      <c r="F75">
        <v>3190296</v>
      </c>
      <c r="G75">
        <f>yt_sports_channels_stats[[#This Row],[view_count]]/yt_sports_channels_stats[[#This Row],[video_count]]</f>
        <v>187664.4705882353</v>
      </c>
      <c r="H75" s="4">
        <f>yt_sports_channels_stats[[#This Row],[subscriber_count]]/yt_sports_channels_stats[[#This Row],[view_count]]</f>
        <v>7.5541579840867432E-3</v>
      </c>
      <c r="I75">
        <v>24100</v>
      </c>
    </row>
    <row r="76" spans="1:9" x14ac:dyDescent="0.25">
      <c r="A76" t="s">
        <v>80</v>
      </c>
      <c r="B76" s="1">
        <v>42756</v>
      </c>
      <c r="C76">
        <f>YEAR(yt_sports_channels_stats[[#This Row],[Start Date]])</f>
        <v>2017</v>
      </c>
      <c r="D76" s="1" t="str">
        <f>IF(YEAR(yt_sports_channels_stats[[#This Row],[Start Date]])&lt;2011,"Old Gen",IF(AND(YEAR(yt_sports_channels_stats[[#This Row],[Start Date]]&gt;2011),YEAR(yt_sports_channels_stats[[#This Row],[Start Date]])&lt;2020),"Mid Gen","New Gen"))</f>
        <v>Mid Gen</v>
      </c>
      <c r="E76">
        <v>675</v>
      </c>
      <c r="F76">
        <v>656967664</v>
      </c>
      <c r="G76">
        <f>yt_sports_channels_stats[[#This Row],[view_count]]/yt_sports_channels_stats[[#This Row],[video_count]]</f>
        <v>973285.42814814812</v>
      </c>
      <c r="H76" s="4">
        <f>yt_sports_channels_stats[[#This Row],[subscriber_count]]/yt_sports_channels_stats[[#This Row],[view_count]]</f>
        <v>8.402240022577428E-4</v>
      </c>
      <c r="I76">
        <v>552000</v>
      </c>
    </row>
    <row r="77" spans="1:9" x14ac:dyDescent="0.25">
      <c r="A77" t="s">
        <v>81</v>
      </c>
      <c r="B77" s="1">
        <v>43888</v>
      </c>
      <c r="C77">
        <f>YEAR(yt_sports_channels_stats[[#This Row],[Start Date]])</f>
        <v>2020</v>
      </c>
      <c r="D77" s="1" t="str">
        <f>IF(YEAR(yt_sports_channels_stats[[#This Row],[Start Date]])&lt;2011,"Old Gen",IF(AND(YEAR(yt_sports_channels_stats[[#This Row],[Start Date]]&gt;2011),YEAR(yt_sports_channels_stats[[#This Row],[Start Date]])&lt;2020),"Mid Gen","New Gen"))</f>
        <v>New Gen</v>
      </c>
      <c r="E77">
        <v>2042</v>
      </c>
      <c r="F77">
        <v>215242803</v>
      </c>
      <c r="G77">
        <f>yt_sports_channels_stats[[#This Row],[view_count]]/yt_sports_channels_stats[[#This Row],[video_count]]</f>
        <v>105407.83692458374</v>
      </c>
      <c r="H77" s="4">
        <f>yt_sports_channels_stats[[#This Row],[subscriber_count]]/yt_sports_channels_stats[[#This Row],[view_count]]</f>
        <v>2.5506079290372372E-3</v>
      </c>
      <c r="I77">
        <v>549000</v>
      </c>
    </row>
    <row r="78" spans="1:9" x14ac:dyDescent="0.25">
      <c r="A78" t="s">
        <v>82</v>
      </c>
      <c r="B78" s="1">
        <v>43647</v>
      </c>
      <c r="C78">
        <f>YEAR(yt_sports_channels_stats[[#This Row],[Start Date]])</f>
        <v>2019</v>
      </c>
      <c r="D78" s="1" t="str">
        <f>IF(YEAR(yt_sports_channels_stats[[#This Row],[Start Date]])&lt;2011,"Old Gen",IF(AND(YEAR(yt_sports_channels_stats[[#This Row],[Start Date]]&gt;2011),YEAR(yt_sports_channels_stats[[#This Row],[Start Date]])&lt;2020),"Mid Gen","New Gen"))</f>
        <v>Mid Gen</v>
      </c>
      <c r="E78">
        <v>1647</v>
      </c>
      <c r="F78">
        <v>91901500</v>
      </c>
      <c r="G78">
        <f>yt_sports_channels_stats[[#This Row],[view_count]]/yt_sports_channels_stats[[#This Row],[video_count]]</f>
        <v>55799.332119004248</v>
      </c>
      <c r="H78" s="4">
        <f>yt_sports_channels_stats[[#This Row],[subscriber_count]]/yt_sports_channels_stats[[#This Row],[view_count]]</f>
        <v>2.4917982840323609E-3</v>
      </c>
      <c r="I78">
        <v>229000</v>
      </c>
    </row>
    <row r="79" spans="1:9" x14ac:dyDescent="0.25">
      <c r="A79" t="s">
        <v>83</v>
      </c>
      <c r="B79" s="1">
        <v>44407</v>
      </c>
      <c r="C79">
        <f>YEAR(yt_sports_channels_stats[[#This Row],[Start Date]])</f>
        <v>2021</v>
      </c>
      <c r="D79" s="1" t="str">
        <f>IF(YEAR(yt_sports_channels_stats[[#This Row],[Start Date]])&lt;2011,"Old Gen",IF(AND(YEAR(yt_sports_channels_stats[[#This Row],[Start Date]]&gt;2011),YEAR(yt_sports_channels_stats[[#This Row],[Start Date]])&lt;2020),"Mid Gen","New Gen"))</f>
        <v>New Gen</v>
      </c>
      <c r="E79">
        <v>911</v>
      </c>
      <c r="F79">
        <v>41004162</v>
      </c>
      <c r="G79">
        <f>yt_sports_channels_stats[[#This Row],[view_count]]/yt_sports_channels_stats[[#This Row],[video_count]]</f>
        <v>45010.057080131723</v>
      </c>
      <c r="H79" s="4">
        <f>yt_sports_channels_stats[[#This Row],[subscriber_count]]/yt_sports_channels_stats[[#This Row],[view_count]]</f>
        <v>2.2509910091565825E-3</v>
      </c>
      <c r="I79">
        <v>92300</v>
      </c>
    </row>
    <row r="80" spans="1:9" x14ac:dyDescent="0.25">
      <c r="A80" t="s">
        <v>84</v>
      </c>
      <c r="B80" s="1">
        <v>42311</v>
      </c>
      <c r="C80">
        <f>YEAR(yt_sports_channels_stats[[#This Row],[Start Date]])</f>
        <v>2015</v>
      </c>
      <c r="D80" s="1" t="str">
        <f>IF(YEAR(yt_sports_channels_stats[[#This Row],[Start Date]])&lt;2011,"Old Gen",IF(AND(YEAR(yt_sports_channels_stats[[#This Row],[Start Date]]&gt;2011),YEAR(yt_sports_channels_stats[[#This Row],[Start Date]])&lt;2020),"Mid Gen","New Gen"))</f>
        <v>Mid Gen</v>
      </c>
      <c r="E80">
        <v>3090</v>
      </c>
      <c r="F80">
        <v>1486347417</v>
      </c>
      <c r="G80">
        <f>yt_sports_channels_stats[[#This Row],[view_count]]/yt_sports_channels_stats[[#This Row],[video_count]]</f>
        <v>481018.58155339805</v>
      </c>
      <c r="H80" s="4">
        <f>yt_sports_channels_stats[[#This Row],[subscriber_count]]/yt_sports_channels_stats[[#This Row],[view_count]]</f>
        <v>6.1896699888435306E-3</v>
      </c>
      <c r="I80">
        <v>9200000</v>
      </c>
    </row>
    <row r="81" spans="1:9" x14ac:dyDescent="0.25">
      <c r="A81" t="s">
        <v>474</v>
      </c>
      <c r="B81" s="1">
        <v>40623</v>
      </c>
      <c r="C81">
        <f>YEAR(yt_sports_channels_stats[[#This Row],[Start Date]])</f>
        <v>2011</v>
      </c>
      <c r="D81" s="1" t="str">
        <f>IF(YEAR(yt_sports_channels_stats[[#This Row],[Start Date]])&lt;2011,"Old Gen",IF(AND(YEAR(yt_sports_channels_stats[[#This Row],[Start Date]]&gt;2011),YEAR(yt_sports_channels_stats[[#This Row],[Start Date]])&lt;2020),"Mid Gen","New Gen"))</f>
        <v>Mid Gen</v>
      </c>
      <c r="E81">
        <v>6281</v>
      </c>
      <c r="F81">
        <v>542711921</v>
      </c>
      <c r="G81">
        <f>yt_sports_channels_stats[[#This Row],[view_count]]/yt_sports_channels_stats[[#This Row],[video_count]]</f>
        <v>86405.336889030412</v>
      </c>
      <c r="H81" s="4">
        <f>yt_sports_channels_stats[[#This Row],[subscriber_count]]/yt_sports_channels_stats[[#This Row],[view_count]]</f>
        <v>1.1589942576551585E-3</v>
      </c>
      <c r="I81">
        <v>629000</v>
      </c>
    </row>
    <row r="82" spans="1:9" x14ac:dyDescent="0.25">
      <c r="A82" t="s">
        <v>14</v>
      </c>
      <c r="B82" s="1">
        <v>42165</v>
      </c>
      <c r="C82">
        <f>YEAR(yt_sports_channels_stats[[#This Row],[Start Date]])</f>
        <v>2015</v>
      </c>
      <c r="D82" s="1" t="str">
        <f>IF(YEAR(yt_sports_channels_stats[[#This Row],[Start Date]])&lt;2011,"Old Gen",IF(AND(YEAR(yt_sports_channels_stats[[#This Row],[Start Date]]&gt;2011),YEAR(yt_sports_channels_stats[[#This Row],[Start Date]])&lt;2020),"Mid Gen","New Gen"))</f>
        <v>Mid Gen</v>
      </c>
      <c r="E82">
        <v>62</v>
      </c>
      <c r="F82">
        <v>13875782</v>
      </c>
      <c r="G82">
        <f>yt_sports_channels_stats[[#This Row],[view_count]]/yt_sports_channels_stats[[#This Row],[video_count]]</f>
        <v>223802.93548387097</v>
      </c>
      <c r="H82" s="4">
        <f>yt_sports_channels_stats[[#This Row],[subscriber_count]]/yt_sports_channels_stats[[#This Row],[view_count]]</f>
        <v>3.2790944683333883E-3</v>
      </c>
      <c r="I82">
        <v>45500</v>
      </c>
    </row>
    <row r="83" spans="1:9" x14ac:dyDescent="0.25">
      <c r="A83" t="s">
        <v>85</v>
      </c>
      <c r="B83" s="1">
        <v>40659</v>
      </c>
      <c r="C83">
        <f>YEAR(yt_sports_channels_stats[[#This Row],[Start Date]])</f>
        <v>2011</v>
      </c>
      <c r="D83" s="1" t="str">
        <f>IF(YEAR(yt_sports_channels_stats[[#This Row],[Start Date]])&lt;2011,"Old Gen",IF(AND(YEAR(yt_sports_channels_stats[[#This Row],[Start Date]]&gt;2011),YEAR(yt_sports_channels_stats[[#This Row],[Start Date]])&lt;2020),"Mid Gen","New Gen"))</f>
        <v>Mid Gen</v>
      </c>
      <c r="E83">
        <v>18639</v>
      </c>
      <c r="F83">
        <v>148163210</v>
      </c>
      <c r="G83">
        <f>yt_sports_channels_stats[[#This Row],[view_count]]/yt_sports_channels_stats[[#This Row],[video_count]]</f>
        <v>7949.0965180535441</v>
      </c>
      <c r="H83" s="4">
        <f>yt_sports_channels_stats[[#This Row],[subscriber_count]]/yt_sports_channels_stats[[#This Row],[view_count]]</f>
        <v>1.7683202193041038E-3</v>
      </c>
      <c r="I83">
        <v>262000</v>
      </c>
    </row>
    <row r="84" spans="1:9" x14ac:dyDescent="0.25">
      <c r="A84" t="s">
        <v>86</v>
      </c>
      <c r="B84" s="1">
        <v>44791</v>
      </c>
      <c r="C84">
        <f>YEAR(yt_sports_channels_stats[[#This Row],[Start Date]])</f>
        <v>2022</v>
      </c>
      <c r="D84" s="1" t="str">
        <f>IF(YEAR(yt_sports_channels_stats[[#This Row],[Start Date]])&lt;2011,"Old Gen",IF(AND(YEAR(yt_sports_channels_stats[[#This Row],[Start Date]]&gt;2011),YEAR(yt_sports_channels_stats[[#This Row],[Start Date]])&lt;2020),"Mid Gen","New Gen"))</f>
        <v>New Gen</v>
      </c>
      <c r="E84">
        <v>3762</v>
      </c>
      <c r="F84">
        <v>380659694</v>
      </c>
      <c r="G84">
        <f>yt_sports_channels_stats[[#This Row],[view_count]]/yt_sports_channels_stats[[#This Row],[video_count]]</f>
        <v>101185.45826687932</v>
      </c>
      <c r="H84" s="4">
        <f>yt_sports_channels_stats[[#This Row],[subscriber_count]]/yt_sports_channels_stats[[#This Row],[view_count]]</f>
        <v>1.7101889437235768E-3</v>
      </c>
      <c r="I84">
        <v>651000</v>
      </c>
    </row>
    <row r="85" spans="1:9" x14ac:dyDescent="0.25">
      <c r="A85" t="s">
        <v>87</v>
      </c>
      <c r="B85" s="1">
        <v>42738</v>
      </c>
      <c r="C85">
        <f>YEAR(yt_sports_channels_stats[[#This Row],[Start Date]])</f>
        <v>2017</v>
      </c>
      <c r="D85" s="1" t="str">
        <f>IF(YEAR(yt_sports_channels_stats[[#This Row],[Start Date]])&lt;2011,"Old Gen",IF(AND(YEAR(yt_sports_channels_stats[[#This Row],[Start Date]]&gt;2011),YEAR(yt_sports_channels_stats[[#This Row],[Start Date]])&lt;2020),"Mid Gen","New Gen"))</f>
        <v>Mid Gen</v>
      </c>
      <c r="E85">
        <v>30301</v>
      </c>
      <c r="F85">
        <v>479576031</v>
      </c>
      <c r="G85">
        <f>yt_sports_channels_stats[[#This Row],[view_count]]/yt_sports_channels_stats[[#This Row],[video_count]]</f>
        <v>15827.069436652255</v>
      </c>
      <c r="H85" s="4">
        <f>yt_sports_channels_stats[[#This Row],[subscriber_count]]/yt_sports_channels_stats[[#This Row],[view_count]]</f>
        <v>2.0559826518936264E-3</v>
      </c>
      <c r="I85">
        <v>986000</v>
      </c>
    </row>
    <row r="86" spans="1:9" x14ac:dyDescent="0.25">
      <c r="A86" t="s">
        <v>88</v>
      </c>
      <c r="B86" s="1">
        <v>42856</v>
      </c>
      <c r="C86">
        <f>YEAR(yt_sports_channels_stats[[#This Row],[Start Date]])</f>
        <v>2017</v>
      </c>
      <c r="D86" s="1" t="str">
        <f>IF(YEAR(yt_sports_channels_stats[[#This Row],[Start Date]])&lt;2011,"Old Gen",IF(AND(YEAR(yt_sports_channels_stats[[#This Row],[Start Date]]&gt;2011),YEAR(yt_sports_channels_stats[[#This Row],[Start Date]])&lt;2020),"Mid Gen","New Gen"))</f>
        <v>Mid Gen</v>
      </c>
      <c r="E86">
        <v>123</v>
      </c>
      <c r="F86">
        <v>6144823</v>
      </c>
      <c r="G86">
        <f>yt_sports_channels_stats[[#This Row],[view_count]]/yt_sports_channels_stats[[#This Row],[video_count]]</f>
        <v>49957.91056910569</v>
      </c>
      <c r="H86" s="4">
        <f>yt_sports_channels_stats[[#This Row],[subscriber_count]]/yt_sports_channels_stats[[#This Row],[view_count]]</f>
        <v>2.2132451984377744E-3</v>
      </c>
      <c r="I86">
        <v>13600</v>
      </c>
    </row>
    <row r="87" spans="1:9" x14ac:dyDescent="0.25">
      <c r="A87" t="s">
        <v>89</v>
      </c>
      <c r="B87" s="1">
        <v>43838</v>
      </c>
      <c r="C87">
        <f>YEAR(yt_sports_channels_stats[[#This Row],[Start Date]])</f>
        <v>2020</v>
      </c>
      <c r="D87" s="1" t="str">
        <f>IF(YEAR(yt_sports_channels_stats[[#This Row],[Start Date]])&lt;2011,"Old Gen",IF(AND(YEAR(yt_sports_channels_stats[[#This Row],[Start Date]]&gt;2011),YEAR(yt_sports_channels_stats[[#This Row],[Start Date]])&lt;2020),"Mid Gen","New Gen"))</f>
        <v>New Gen</v>
      </c>
      <c r="E87">
        <v>530</v>
      </c>
      <c r="F87">
        <v>464864555</v>
      </c>
      <c r="G87">
        <f>yt_sports_channels_stats[[#This Row],[view_count]]/yt_sports_channels_stats[[#This Row],[video_count]]</f>
        <v>877102.9339622641</v>
      </c>
      <c r="H87" s="4">
        <f>yt_sports_channels_stats[[#This Row],[subscriber_count]]/yt_sports_channels_stats[[#This Row],[view_count]]</f>
        <v>1.9016291745452608E-3</v>
      </c>
      <c r="I87">
        <v>884000</v>
      </c>
    </row>
    <row r="88" spans="1:9" x14ac:dyDescent="0.25">
      <c r="A88" t="s">
        <v>90</v>
      </c>
      <c r="B88" s="1">
        <v>40338</v>
      </c>
      <c r="C88">
        <f>YEAR(yt_sports_channels_stats[[#This Row],[Start Date]])</f>
        <v>2010</v>
      </c>
      <c r="D88" s="1" t="str">
        <f>IF(YEAR(yt_sports_channels_stats[[#This Row],[Start Date]])&lt;2011,"Old Gen",IF(AND(YEAR(yt_sports_channels_stats[[#This Row],[Start Date]]&gt;2011),YEAR(yt_sports_channels_stats[[#This Row],[Start Date]])&lt;2020),"Mid Gen","New Gen"))</f>
        <v>Old Gen</v>
      </c>
      <c r="E88">
        <v>6317</v>
      </c>
      <c r="F88">
        <v>6773764</v>
      </c>
      <c r="G88">
        <f>yt_sports_channels_stats[[#This Row],[view_count]]/yt_sports_channels_stats[[#This Row],[video_count]]</f>
        <v>1072.3071078043374</v>
      </c>
      <c r="H88" s="4">
        <f>yt_sports_channels_stats[[#This Row],[subscriber_count]]/yt_sports_channels_stats[[#This Row],[view_count]]</f>
        <v>1.5943868135943325E-3</v>
      </c>
      <c r="I88">
        <v>10800</v>
      </c>
    </row>
    <row r="89" spans="1:9" x14ac:dyDescent="0.25">
      <c r="A89" t="s">
        <v>91</v>
      </c>
      <c r="B89" s="1">
        <v>43469</v>
      </c>
      <c r="C89">
        <f>YEAR(yt_sports_channels_stats[[#This Row],[Start Date]])</f>
        <v>2019</v>
      </c>
      <c r="D89" s="1" t="str">
        <f>IF(YEAR(yt_sports_channels_stats[[#This Row],[Start Date]])&lt;2011,"Old Gen",IF(AND(YEAR(yt_sports_channels_stats[[#This Row],[Start Date]]&gt;2011),YEAR(yt_sports_channels_stats[[#This Row],[Start Date]])&lt;2020),"Mid Gen","New Gen"))</f>
        <v>Mid Gen</v>
      </c>
      <c r="E89">
        <v>3385</v>
      </c>
      <c r="F89">
        <v>87249754</v>
      </c>
      <c r="G89">
        <f>yt_sports_channels_stats[[#This Row],[view_count]]/yt_sports_channels_stats[[#This Row],[video_count]]</f>
        <v>25775.407385524373</v>
      </c>
      <c r="H89" s="4">
        <f>yt_sports_channels_stats[[#This Row],[subscriber_count]]/yt_sports_channels_stats[[#This Row],[view_count]]</f>
        <v>1.1461350366672666E-3</v>
      </c>
      <c r="I89">
        <v>100000</v>
      </c>
    </row>
    <row r="90" spans="1:9" x14ac:dyDescent="0.25">
      <c r="A90" t="s">
        <v>92</v>
      </c>
      <c r="B90" s="1">
        <v>43949</v>
      </c>
      <c r="C90">
        <f>YEAR(yt_sports_channels_stats[[#This Row],[Start Date]])</f>
        <v>2020</v>
      </c>
      <c r="D90" s="1" t="str">
        <f>IF(YEAR(yt_sports_channels_stats[[#This Row],[Start Date]])&lt;2011,"Old Gen",IF(AND(YEAR(yt_sports_channels_stats[[#This Row],[Start Date]]&gt;2011),YEAR(yt_sports_channels_stats[[#This Row],[Start Date]])&lt;2020),"Mid Gen","New Gen"))</f>
        <v>New Gen</v>
      </c>
      <c r="E90">
        <v>77</v>
      </c>
      <c r="F90">
        <v>74156</v>
      </c>
      <c r="G90">
        <f>yt_sports_channels_stats[[#This Row],[view_count]]/yt_sports_channels_stats[[#This Row],[video_count]]</f>
        <v>963.06493506493507</v>
      </c>
      <c r="H90" s="4">
        <f>yt_sports_channels_stats[[#This Row],[subscriber_count]]/yt_sports_channels_stats[[#This Row],[view_count]]</f>
        <v>1.2999622417606127E-2</v>
      </c>
      <c r="I90">
        <v>964</v>
      </c>
    </row>
    <row r="91" spans="1:9" x14ac:dyDescent="0.25">
      <c r="A91" t="s">
        <v>93</v>
      </c>
      <c r="B91" s="1">
        <v>43110</v>
      </c>
      <c r="C91">
        <f>YEAR(yt_sports_channels_stats[[#This Row],[Start Date]])</f>
        <v>2018</v>
      </c>
      <c r="D91" s="1" t="str">
        <f>IF(YEAR(yt_sports_channels_stats[[#This Row],[Start Date]])&lt;2011,"Old Gen",IF(AND(YEAR(yt_sports_channels_stats[[#This Row],[Start Date]]&gt;2011),YEAR(yt_sports_channels_stats[[#This Row],[Start Date]])&lt;2020),"Mid Gen","New Gen"))</f>
        <v>Mid Gen</v>
      </c>
      <c r="E91">
        <v>371</v>
      </c>
      <c r="F91">
        <v>35265565</v>
      </c>
      <c r="G91">
        <f>yt_sports_channels_stats[[#This Row],[view_count]]/yt_sports_channels_stats[[#This Row],[video_count]]</f>
        <v>95055.431266846368</v>
      </c>
      <c r="H91" s="4">
        <f>yt_sports_channels_stats[[#This Row],[subscriber_count]]/yt_sports_channels_stats[[#This Row],[view_count]]</f>
        <v>1.3554298647987066E-3</v>
      </c>
      <c r="I91">
        <v>47800</v>
      </c>
    </row>
    <row r="92" spans="1:9" x14ac:dyDescent="0.25">
      <c r="A92" t="s">
        <v>94</v>
      </c>
      <c r="B92" s="1">
        <v>41816</v>
      </c>
      <c r="C92">
        <f>YEAR(yt_sports_channels_stats[[#This Row],[Start Date]])</f>
        <v>2014</v>
      </c>
      <c r="D92" s="1" t="str">
        <f>IF(YEAR(yt_sports_channels_stats[[#This Row],[Start Date]])&lt;2011,"Old Gen",IF(AND(YEAR(yt_sports_channels_stats[[#This Row],[Start Date]]&gt;2011),YEAR(yt_sports_channels_stats[[#This Row],[Start Date]])&lt;2020),"Mid Gen","New Gen"))</f>
        <v>Mid Gen</v>
      </c>
      <c r="E92">
        <v>1052</v>
      </c>
      <c r="F92">
        <v>1137652</v>
      </c>
      <c r="G92">
        <f>yt_sports_channels_stats[[#This Row],[view_count]]/yt_sports_channels_stats[[#This Row],[video_count]]</f>
        <v>1081.4182509505704</v>
      </c>
      <c r="H92" s="4">
        <f>yt_sports_channels_stats[[#This Row],[subscriber_count]]/yt_sports_channels_stats[[#This Row],[view_count]]</f>
        <v>4.535657652779585E-3</v>
      </c>
      <c r="I92">
        <v>5160</v>
      </c>
    </row>
    <row r="93" spans="1:9" x14ac:dyDescent="0.25">
      <c r="A93" t="s">
        <v>95</v>
      </c>
      <c r="B93" s="1">
        <v>43053</v>
      </c>
      <c r="C93">
        <f>YEAR(yt_sports_channels_stats[[#This Row],[Start Date]])</f>
        <v>2017</v>
      </c>
      <c r="D93" s="1" t="str">
        <f>IF(YEAR(yt_sports_channels_stats[[#This Row],[Start Date]])&lt;2011,"Old Gen",IF(AND(YEAR(yt_sports_channels_stats[[#This Row],[Start Date]]&gt;2011),YEAR(yt_sports_channels_stats[[#This Row],[Start Date]])&lt;2020),"Mid Gen","New Gen"))</f>
        <v>Mid Gen</v>
      </c>
      <c r="E93">
        <v>10114</v>
      </c>
      <c r="F93">
        <v>182902894</v>
      </c>
      <c r="G93">
        <f>yt_sports_channels_stats[[#This Row],[view_count]]/yt_sports_channels_stats[[#This Row],[video_count]]</f>
        <v>18084.130314415663</v>
      </c>
      <c r="H93" s="4">
        <f>yt_sports_channels_stats[[#This Row],[subscriber_count]]/yt_sports_channels_stats[[#This Row],[view_count]]</f>
        <v>1.3285738387496483E-3</v>
      </c>
      <c r="I93">
        <v>243000</v>
      </c>
    </row>
    <row r="94" spans="1:9" x14ac:dyDescent="0.25">
      <c r="A94" t="s">
        <v>96</v>
      </c>
      <c r="B94" s="1">
        <v>43980</v>
      </c>
      <c r="C94">
        <f>YEAR(yt_sports_channels_stats[[#This Row],[Start Date]])</f>
        <v>2020</v>
      </c>
      <c r="D94" s="1" t="str">
        <f>IF(YEAR(yt_sports_channels_stats[[#This Row],[Start Date]])&lt;2011,"Old Gen",IF(AND(YEAR(yt_sports_channels_stats[[#This Row],[Start Date]]&gt;2011),YEAR(yt_sports_channels_stats[[#This Row],[Start Date]])&lt;2020),"Mid Gen","New Gen"))</f>
        <v>New Gen</v>
      </c>
      <c r="E94">
        <v>1515</v>
      </c>
      <c r="F94">
        <v>14253949</v>
      </c>
      <c r="G94">
        <f>yt_sports_channels_stats[[#This Row],[view_count]]/yt_sports_channels_stats[[#This Row],[video_count]]</f>
        <v>9408.5471947194728</v>
      </c>
      <c r="H94" s="4">
        <f>yt_sports_channels_stats[[#This Row],[subscriber_count]]/yt_sports_channels_stats[[#This Row],[view_count]]</f>
        <v>3.5428778368717328E-3</v>
      </c>
      <c r="I94">
        <v>50500</v>
      </c>
    </row>
    <row r="95" spans="1:9" x14ac:dyDescent="0.25">
      <c r="A95" t="s">
        <v>97</v>
      </c>
      <c r="B95" s="1">
        <v>40611</v>
      </c>
      <c r="C95">
        <f>YEAR(yt_sports_channels_stats[[#This Row],[Start Date]])</f>
        <v>2011</v>
      </c>
      <c r="D95" s="1" t="str">
        <f>IF(YEAR(yt_sports_channels_stats[[#This Row],[Start Date]])&lt;2011,"Old Gen",IF(AND(YEAR(yt_sports_channels_stats[[#This Row],[Start Date]]&gt;2011),YEAR(yt_sports_channels_stats[[#This Row],[Start Date]])&lt;2020),"Mid Gen","New Gen"))</f>
        <v>Mid Gen</v>
      </c>
      <c r="E95">
        <v>1654</v>
      </c>
      <c r="F95">
        <v>26526162</v>
      </c>
      <c r="G95">
        <f>yt_sports_channels_stats[[#This Row],[view_count]]/yt_sports_channels_stats[[#This Row],[video_count]]</f>
        <v>16037.582829504232</v>
      </c>
      <c r="H95" s="4">
        <f>yt_sports_channels_stats[[#This Row],[subscriber_count]]/yt_sports_channels_stats[[#This Row],[view_count]]</f>
        <v>1.0706411278043164E-2</v>
      </c>
      <c r="I95">
        <v>284000</v>
      </c>
    </row>
    <row r="96" spans="1:9" x14ac:dyDescent="0.25">
      <c r="A96" t="s">
        <v>98</v>
      </c>
      <c r="B96" s="1">
        <v>41502</v>
      </c>
      <c r="C96">
        <f>YEAR(yt_sports_channels_stats[[#This Row],[Start Date]])</f>
        <v>2013</v>
      </c>
      <c r="D96" s="1" t="str">
        <f>IF(YEAR(yt_sports_channels_stats[[#This Row],[Start Date]])&lt;2011,"Old Gen",IF(AND(YEAR(yt_sports_channels_stats[[#This Row],[Start Date]]&gt;2011),YEAR(yt_sports_channels_stats[[#This Row],[Start Date]])&lt;2020),"Mid Gen","New Gen"))</f>
        <v>Mid Gen</v>
      </c>
      <c r="E96">
        <v>1080</v>
      </c>
      <c r="F96">
        <v>878039</v>
      </c>
      <c r="G96">
        <f>yt_sports_channels_stats[[#This Row],[view_count]]/yt_sports_channels_stats[[#This Row],[video_count]]</f>
        <v>812.99907407407409</v>
      </c>
      <c r="H96" s="4">
        <f>yt_sports_channels_stats[[#This Row],[subscriber_count]]/yt_sports_channels_stats[[#This Row],[view_count]]</f>
        <v>5.3983934654383238E-3</v>
      </c>
      <c r="I96">
        <v>4740</v>
      </c>
    </row>
    <row r="97" spans="1:9" x14ac:dyDescent="0.25">
      <c r="A97" t="s">
        <v>99</v>
      </c>
      <c r="B97" s="1">
        <v>40281</v>
      </c>
      <c r="C97">
        <f>YEAR(yt_sports_channels_stats[[#This Row],[Start Date]])</f>
        <v>2010</v>
      </c>
      <c r="D97" s="1" t="str">
        <f>IF(YEAR(yt_sports_channels_stats[[#This Row],[Start Date]])&lt;2011,"Old Gen",IF(AND(YEAR(yt_sports_channels_stats[[#This Row],[Start Date]]&gt;2011),YEAR(yt_sports_channels_stats[[#This Row],[Start Date]])&lt;2020),"Mid Gen","New Gen"))</f>
        <v>Old Gen</v>
      </c>
      <c r="E97">
        <v>470</v>
      </c>
      <c r="F97">
        <v>150330551</v>
      </c>
      <c r="G97">
        <f>yt_sports_channels_stats[[#This Row],[view_count]]/yt_sports_channels_stats[[#This Row],[video_count]]</f>
        <v>319852.23617021274</v>
      </c>
      <c r="H97" s="4">
        <f>yt_sports_channels_stats[[#This Row],[subscriber_count]]/yt_sports_channels_stats[[#This Row],[view_count]]</f>
        <v>1.9556902974432657E-3</v>
      </c>
      <c r="I97">
        <v>294000</v>
      </c>
    </row>
    <row r="98" spans="1:9" x14ac:dyDescent="0.25">
      <c r="A98" t="s">
        <v>100</v>
      </c>
      <c r="B98" s="1">
        <v>44350</v>
      </c>
      <c r="C98">
        <f>YEAR(yt_sports_channels_stats[[#This Row],[Start Date]])</f>
        <v>2021</v>
      </c>
      <c r="D98" s="1" t="str">
        <f>IF(YEAR(yt_sports_channels_stats[[#This Row],[Start Date]])&lt;2011,"Old Gen",IF(AND(YEAR(yt_sports_channels_stats[[#This Row],[Start Date]]&gt;2011),YEAR(yt_sports_channels_stats[[#This Row],[Start Date]])&lt;2020),"Mid Gen","New Gen"))</f>
        <v>New Gen</v>
      </c>
      <c r="E98">
        <v>2200</v>
      </c>
      <c r="F98">
        <v>270791931</v>
      </c>
      <c r="G98">
        <f>yt_sports_channels_stats[[#This Row],[view_count]]/yt_sports_channels_stats[[#This Row],[video_count]]</f>
        <v>123087.24136363636</v>
      </c>
      <c r="H98" s="4">
        <f>yt_sports_channels_stats[[#This Row],[subscriber_count]]/yt_sports_channels_stats[[#This Row],[view_count]]</f>
        <v>3.3642065944719749E-3</v>
      </c>
      <c r="I98">
        <v>911000</v>
      </c>
    </row>
    <row r="99" spans="1:9" x14ac:dyDescent="0.25">
      <c r="A99" t="s">
        <v>101</v>
      </c>
      <c r="B99" s="1">
        <v>40725</v>
      </c>
      <c r="C99">
        <f>YEAR(yt_sports_channels_stats[[#This Row],[Start Date]])</f>
        <v>2011</v>
      </c>
      <c r="D99" s="1" t="str">
        <f>IF(YEAR(yt_sports_channels_stats[[#This Row],[Start Date]])&lt;2011,"Old Gen",IF(AND(YEAR(yt_sports_channels_stats[[#This Row],[Start Date]]&gt;2011),YEAR(yt_sports_channels_stats[[#This Row],[Start Date]])&lt;2020),"Mid Gen","New Gen"))</f>
        <v>Mid Gen</v>
      </c>
      <c r="E99">
        <v>949</v>
      </c>
      <c r="F99">
        <v>16130582</v>
      </c>
      <c r="G99">
        <f>yt_sports_channels_stats[[#This Row],[view_count]]/yt_sports_channels_stats[[#This Row],[video_count]]</f>
        <v>16997.452054794521</v>
      </c>
      <c r="H99" s="4">
        <f>yt_sports_channels_stats[[#This Row],[subscriber_count]]/yt_sports_channels_stats[[#This Row],[view_count]]</f>
        <v>4.6061574219702674E-3</v>
      </c>
      <c r="I99">
        <v>74300</v>
      </c>
    </row>
    <row r="100" spans="1:9" x14ac:dyDescent="0.25">
      <c r="A100" t="s">
        <v>102</v>
      </c>
      <c r="B100" s="1">
        <v>42880</v>
      </c>
      <c r="C100">
        <f>YEAR(yt_sports_channels_stats[[#This Row],[Start Date]])</f>
        <v>2017</v>
      </c>
      <c r="D100" s="1" t="str">
        <f>IF(YEAR(yt_sports_channels_stats[[#This Row],[Start Date]])&lt;2011,"Old Gen",IF(AND(YEAR(yt_sports_channels_stats[[#This Row],[Start Date]]&gt;2011),YEAR(yt_sports_channels_stats[[#This Row],[Start Date]])&lt;2020),"Mid Gen","New Gen"))</f>
        <v>Mid Gen</v>
      </c>
      <c r="E100">
        <v>4919</v>
      </c>
      <c r="F100">
        <v>362602208</v>
      </c>
      <c r="G100">
        <f>yt_sports_channels_stats[[#This Row],[view_count]]/yt_sports_channels_stats[[#This Row],[video_count]]</f>
        <v>73714.618418377722</v>
      </c>
      <c r="H100" s="4">
        <f>yt_sports_channels_stats[[#This Row],[subscriber_count]]/yt_sports_channels_stats[[#This Row],[view_count]]</f>
        <v>3.7506666258358802E-3</v>
      </c>
      <c r="I100">
        <v>1360000</v>
      </c>
    </row>
    <row r="101" spans="1:9" x14ac:dyDescent="0.25">
      <c r="A101" t="s">
        <v>102</v>
      </c>
      <c r="B101" s="1">
        <v>42880</v>
      </c>
      <c r="C101">
        <f>YEAR(yt_sports_channels_stats[[#This Row],[Start Date]])</f>
        <v>2017</v>
      </c>
      <c r="D101" s="1" t="str">
        <f>IF(YEAR(yt_sports_channels_stats[[#This Row],[Start Date]])&lt;2011,"Old Gen",IF(AND(YEAR(yt_sports_channels_stats[[#This Row],[Start Date]]&gt;2011),YEAR(yt_sports_channels_stats[[#This Row],[Start Date]])&lt;2020),"Mid Gen","New Gen"))</f>
        <v>Mid Gen</v>
      </c>
      <c r="E101">
        <v>4919</v>
      </c>
      <c r="F101">
        <v>362602208</v>
      </c>
      <c r="G101">
        <f>yt_sports_channels_stats[[#This Row],[view_count]]/yt_sports_channels_stats[[#This Row],[video_count]]</f>
        <v>73714.618418377722</v>
      </c>
      <c r="H101" s="4">
        <f>yt_sports_channels_stats[[#This Row],[subscriber_count]]/yt_sports_channels_stats[[#This Row],[view_count]]</f>
        <v>3.7506666258358802E-3</v>
      </c>
      <c r="I101">
        <v>1360000</v>
      </c>
    </row>
    <row r="102" spans="1:9" x14ac:dyDescent="0.25">
      <c r="A102" t="s">
        <v>103</v>
      </c>
      <c r="B102" s="1">
        <v>41135</v>
      </c>
      <c r="C102">
        <f>YEAR(yt_sports_channels_stats[[#This Row],[Start Date]])</f>
        <v>2012</v>
      </c>
      <c r="D102" s="1" t="str">
        <f>IF(YEAR(yt_sports_channels_stats[[#This Row],[Start Date]])&lt;2011,"Old Gen",IF(AND(YEAR(yt_sports_channels_stats[[#This Row],[Start Date]]&gt;2011),YEAR(yt_sports_channels_stats[[#This Row],[Start Date]])&lt;2020),"Mid Gen","New Gen"))</f>
        <v>Mid Gen</v>
      </c>
      <c r="E102">
        <v>3587</v>
      </c>
      <c r="F102">
        <v>89251920</v>
      </c>
      <c r="G102">
        <f>yt_sports_channels_stats[[#This Row],[view_count]]/yt_sports_channels_stats[[#This Row],[video_count]]</f>
        <v>24882.051853916921</v>
      </c>
      <c r="H102" s="4">
        <f>yt_sports_channels_stats[[#This Row],[subscriber_count]]/yt_sports_channels_stats[[#This Row],[view_count]]</f>
        <v>1.747861558608487E-3</v>
      </c>
      <c r="I102">
        <v>156000</v>
      </c>
    </row>
    <row r="103" spans="1:9" x14ac:dyDescent="0.25">
      <c r="A103" t="s">
        <v>104</v>
      </c>
      <c r="B103" s="1">
        <v>43349</v>
      </c>
      <c r="C103">
        <f>YEAR(yt_sports_channels_stats[[#This Row],[Start Date]])</f>
        <v>2018</v>
      </c>
      <c r="D103" s="1" t="str">
        <f>IF(YEAR(yt_sports_channels_stats[[#This Row],[Start Date]])&lt;2011,"Old Gen",IF(AND(YEAR(yt_sports_channels_stats[[#This Row],[Start Date]]&gt;2011),YEAR(yt_sports_channels_stats[[#This Row],[Start Date]])&lt;2020),"Mid Gen","New Gen"))</f>
        <v>Mid Gen</v>
      </c>
      <c r="E103">
        <v>3926</v>
      </c>
      <c r="F103">
        <v>13180389</v>
      </c>
      <c r="G103">
        <f>yt_sports_channels_stats[[#This Row],[view_count]]/yt_sports_channels_stats[[#This Row],[video_count]]</f>
        <v>3357.2055527254201</v>
      </c>
      <c r="H103" s="4">
        <f>yt_sports_channels_stats[[#This Row],[subscriber_count]]/yt_sports_channels_stats[[#This Row],[view_count]]</f>
        <v>2.177477462918583E-3</v>
      </c>
      <c r="I103">
        <v>28700</v>
      </c>
    </row>
    <row r="104" spans="1:9" x14ac:dyDescent="0.25">
      <c r="A104" t="s">
        <v>105</v>
      </c>
      <c r="B104" s="1">
        <v>43187</v>
      </c>
      <c r="C104">
        <f>YEAR(yt_sports_channels_stats[[#This Row],[Start Date]])</f>
        <v>2018</v>
      </c>
      <c r="D104" s="1" t="str">
        <f>IF(YEAR(yt_sports_channels_stats[[#This Row],[Start Date]])&lt;2011,"Old Gen",IF(AND(YEAR(yt_sports_channels_stats[[#This Row],[Start Date]]&gt;2011),YEAR(yt_sports_channels_stats[[#This Row],[Start Date]])&lt;2020),"Mid Gen","New Gen"))</f>
        <v>Mid Gen</v>
      </c>
      <c r="E104">
        <v>8490</v>
      </c>
      <c r="F104">
        <v>12208277</v>
      </c>
      <c r="G104">
        <f>yt_sports_channels_stats[[#This Row],[view_count]]/yt_sports_channels_stats[[#This Row],[video_count]]</f>
        <v>1437.9595995288576</v>
      </c>
      <c r="H104" s="4">
        <f>yt_sports_channels_stats[[#This Row],[subscriber_count]]/yt_sports_channels_stats[[#This Row],[view_count]]</f>
        <v>2.1215114958482674E-3</v>
      </c>
      <c r="I104">
        <v>25900</v>
      </c>
    </row>
    <row r="105" spans="1:9" x14ac:dyDescent="0.25">
      <c r="A105" t="s">
        <v>106</v>
      </c>
      <c r="B105" s="1">
        <v>40052</v>
      </c>
      <c r="C105">
        <f>YEAR(yt_sports_channels_stats[[#This Row],[Start Date]])</f>
        <v>2009</v>
      </c>
      <c r="D105" s="1" t="str">
        <f>IF(YEAR(yt_sports_channels_stats[[#This Row],[Start Date]])&lt;2011,"Old Gen",IF(AND(YEAR(yt_sports_channels_stats[[#This Row],[Start Date]]&gt;2011),YEAR(yt_sports_channels_stats[[#This Row],[Start Date]])&lt;2020),"Mid Gen","New Gen"))</f>
        <v>Old Gen</v>
      </c>
      <c r="E105">
        <v>1957</v>
      </c>
      <c r="F105">
        <v>1495028</v>
      </c>
      <c r="G105">
        <f>yt_sports_channels_stats[[#This Row],[view_count]]/yt_sports_channels_stats[[#This Row],[video_count]]</f>
        <v>763.93868165559525</v>
      </c>
      <c r="H105" s="4">
        <f>yt_sports_channels_stats[[#This Row],[subscriber_count]]/yt_sports_channels_stats[[#This Row],[view_count]]</f>
        <v>1.0769029075040734E-3</v>
      </c>
      <c r="I105">
        <v>1610</v>
      </c>
    </row>
    <row r="106" spans="1:9" x14ac:dyDescent="0.25">
      <c r="A106" t="s">
        <v>107</v>
      </c>
      <c r="B106" s="1">
        <v>41106</v>
      </c>
      <c r="C106">
        <f>YEAR(yt_sports_channels_stats[[#This Row],[Start Date]])</f>
        <v>2012</v>
      </c>
      <c r="D106" s="1" t="str">
        <f>IF(YEAR(yt_sports_channels_stats[[#This Row],[Start Date]])&lt;2011,"Old Gen",IF(AND(YEAR(yt_sports_channels_stats[[#This Row],[Start Date]]&gt;2011),YEAR(yt_sports_channels_stats[[#This Row],[Start Date]])&lt;2020),"Mid Gen","New Gen"))</f>
        <v>Mid Gen</v>
      </c>
      <c r="E106">
        <v>10038</v>
      </c>
      <c r="F106">
        <v>291943570</v>
      </c>
      <c r="G106">
        <f>yt_sports_channels_stats[[#This Row],[view_count]]/yt_sports_channels_stats[[#This Row],[video_count]]</f>
        <v>29083.838414026697</v>
      </c>
      <c r="H106" s="4">
        <f>yt_sports_channels_stats[[#This Row],[subscriber_count]]/yt_sports_channels_stats[[#This Row],[view_count]]</f>
        <v>2.74368091066366E-3</v>
      </c>
      <c r="I106">
        <v>801000</v>
      </c>
    </row>
    <row r="107" spans="1:9" x14ac:dyDescent="0.25">
      <c r="A107" t="s">
        <v>108</v>
      </c>
      <c r="B107" s="1">
        <v>43839</v>
      </c>
      <c r="C107">
        <f>YEAR(yt_sports_channels_stats[[#This Row],[Start Date]])</f>
        <v>2020</v>
      </c>
      <c r="D107" s="1" t="str">
        <f>IF(YEAR(yt_sports_channels_stats[[#This Row],[Start Date]])&lt;2011,"Old Gen",IF(AND(YEAR(yt_sports_channels_stats[[#This Row],[Start Date]]&gt;2011),YEAR(yt_sports_channels_stats[[#This Row],[Start Date]])&lt;2020),"Mid Gen","New Gen"))</f>
        <v>New Gen</v>
      </c>
      <c r="E107">
        <v>1804</v>
      </c>
      <c r="F107">
        <v>5919503</v>
      </c>
      <c r="G107">
        <f>yt_sports_channels_stats[[#This Row],[view_count]]/yt_sports_channels_stats[[#This Row],[video_count]]</f>
        <v>3281.320953436807</v>
      </c>
      <c r="H107" s="4">
        <f>yt_sports_channels_stats[[#This Row],[subscriber_count]]/yt_sports_channels_stats[[#This Row],[view_count]]</f>
        <v>4.2571141529956147E-3</v>
      </c>
      <c r="I107">
        <v>25200</v>
      </c>
    </row>
    <row r="108" spans="1:9" x14ac:dyDescent="0.25">
      <c r="A108" t="s">
        <v>109</v>
      </c>
      <c r="B108" s="1">
        <v>43556</v>
      </c>
      <c r="C108">
        <f>YEAR(yt_sports_channels_stats[[#This Row],[Start Date]])</f>
        <v>2019</v>
      </c>
      <c r="D108" s="1" t="str">
        <f>IF(YEAR(yt_sports_channels_stats[[#This Row],[Start Date]])&lt;2011,"Old Gen",IF(AND(YEAR(yt_sports_channels_stats[[#This Row],[Start Date]]&gt;2011),YEAR(yt_sports_channels_stats[[#This Row],[Start Date]])&lt;2020),"Mid Gen","New Gen"))</f>
        <v>Mid Gen</v>
      </c>
      <c r="E108">
        <v>24752</v>
      </c>
      <c r="F108">
        <v>2039718299</v>
      </c>
      <c r="G108">
        <f>yt_sports_channels_stats[[#This Row],[view_count]]/yt_sports_channels_stats[[#This Row],[video_count]]</f>
        <v>82406.201478668387</v>
      </c>
      <c r="H108" s="4">
        <f>yt_sports_channels_stats[[#This Row],[subscriber_count]]/yt_sports_channels_stats[[#This Row],[view_count]]</f>
        <v>1.6129678307112152E-3</v>
      </c>
      <c r="I108">
        <v>3290000</v>
      </c>
    </row>
    <row r="109" spans="1:9" x14ac:dyDescent="0.25">
      <c r="A109" t="s">
        <v>110</v>
      </c>
      <c r="B109" s="1">
        <v>44636</v>
      </c>
      <c r="C109">
        <f>YEAR(yt_sports_channels_stats[[#This Row],[Start Date]])</f>
        <v>2022</v>
      </c>
      <c r="D109" s="1" t="str">
        <f>IF(YEAR(yt_sports_channels_stats[[#This Row],[Start Date]])&lt;2011,"Old Gen",IF(AND(YEAR(yt_sports_channels_stats[[#This Row],[Start Date]]&gt;2011),YEAR(yt_sports_channels_stats[[#This Row],[Start Date]])&lt;2020),"Mid Gen","New Gen"))</f>
        <v>New Gen</v>
      </c>
      <c r="E109">
        <v>2775</v>
      </c>
      <c r="F109">
        <v>2527452</v>
      </c>
      <c r="G109">
        <f>yt_sports_channels_stats[[#This Row],[view_count]]/yt_sports_channels_stats[[#This Row],[video_count]]</f>
        <v>910.79351351351352</v>
      </c>
      <c r="H109" s="4">
        <f>yt_sports_channels_stats[[#This Row],[subscriber_count]]/yt_sports_channels_stats[[#This Row],[view_count]]</f>
        <v>4.2730781830871561E-3</v>
      </c>
      <c r="I109">
        <v>10800</v>
      </c>
    </row>
    <row r="110" spans="1:9" x14ac:dyDescent="0.25">
      <c r="A110" t="s">
        <v>111</v>
      </c>
      <c r="B110" s="1">
        <v>41912</v>
      </c>
      <c r="C110">
        <f>YEAR(yt_sports_channels_stats[[#This Row],[Start Date]])</f>
        <v>2014</v>
      </c>
      <c r="D110" s="1" t="str">
        <f>IF(YEAR(yt_sports_channels_stats[[#This Row],[Start Date]])&lt;2011,"Old Gen",IF(AND(YEAR(yt_sports_channels_stats[[#This Row],[Start Date]]&gt;2011),YEAR(yt_sports_channels_stats[[#This Row],[Start Date]])&lt;2020),"Mid Gen","New Gen"))</f>
        <v>Mid Gen</v>
      </c>
      <c r="E110">
        <v>879</v>
      </c>
      <c r="F110">
        <v>79182794</v>
      </c>
      <c r="G110">
        <f>yt_sports_channels_stats[[#This Row],[view_count]]/yt_sports_channels_stats[[#This Row],[video_count]]</f>
        <v>90082.81456200227</v>
      </c>
      <c r="H110" s="4">
        <f>yt_sports_channels_stats[[#This Row],[subscriber_count]]/yt_sports_channels_stats[[#This Row],[view_count]]</f>
        <v>2.4373982054737803E-3</v>
      </c>
      <c r="I110">
        <v>193000</v>
      </c>
    </row>
    <row r="111" spans="1:9" x14ac:dyDescent="0.25">
      <c r="A111" t="s">
        <v>112</v>
      </c>
      <c r="B111" s="1">
        <v>42412</v>
      </c>
      <c r="C111">
        <f>YEAR(yt_sports_channels_stats[[#This Row],[Start Date]])</f>
        <v>2016</v>
      </c>
      <c r="D111" s="1" t="str">
        <f>IF(YEAR(yt_sports_channels_stats[[#This Row],[Start Date]])&lt;2011,"Old Gen",IF(AND(YEAR(yt_sports_channels_stats[[#This Row],[Start Date]]&gt;2011),YEAR(yt_sports_channels_stats[[#This Row],[Start Date]])&lt;2020),"Mid Gen","New Gen"))</f>
        <v>Mid Gen</v>
      </c>
      <c r="E111">
        <v>15692</v>
      </c>
      <c r="F111">
        <v>5473049</v>
      </c>
      <c r="G111">
        <f>yt_sports_channels_stats[[#This Row],[view_count]]/yt_sports_channels_stats[[#This Row],[video_count]]</f>
        <v>348.77956920723938</v>
      </c>
      <c r="H111" s="4">
        <f>yt_sports_channels_stats[[#This Row],[subscriber_count]]/yt_sports_channels_stats[[#This Row],[view_count]]</f>
        <v>1.0761825812266618E-3</v>
      </c>
      <c r="I111">
        <v>5890</v>
      </c>
    </row>
    <row r="112" spans="1:9" x14ac:dyDescent="0.25">
      <c r="A112" t="s">
        <v>113</v>
      </c>
      <c r="B112" s="1">
        <v>43844</v>
      </c>
      <c r="C112">
        <f>YEAR(yt_sports_channels_stats[[#This Row],[Start Date]])</f>
        <v>2020</v>
      </c>
      <c r="D112" s="1" t="str">
        <f>IF(YEAR(yt_sports_channels_stats[[#This Row],[Start Date]])&lt;2011,"Old Gen",IF(AND(YEAR(yt_sports_channels_stats[[#This Row],[Start Date]]&gt;2011),YEAR(yt_sports_channels_stats[[#This Row],[Start Date]])&lt;2020),"Mid Gen","New Gen"))</f>
        <v>New Gen</v>
      </c>
      <c r="E112">
        <v>7040</v>
      </c>
      <c r="F112">
        <v>163658227</v>
      </c>
      <c r="G112">
        <f>yt_sports_channels_stats[[#This Row],[view_count]]/yt_sports_channels_stats[[#This Row],[video_count]]</f>
        <v>23246.907244318183</v>
      </c>
      <c r="H112" s="4">
        <f>yt_sports_channels_stats[[#This Row],[subscriber_count]]/yt_sports_channels_stats[[#This Row],[view_count]]</f>
        <v>3.5378606417384687E-3</v>
      </c>
      <c r="I112">
        <v>579000</v>
      </c>
    </row>
    <row r="113" spans="1:9" x14ac:dyDescent="0.25">
      <c r="A113" t="s">
        <v>114</v>
      </c>
      <c r="B113" s="1">
        <v>44006</v>
      </c>
      <c r="C113">
        <f>YEAR(yt_sports_channels_stats[[#This Row],[Start Date]])</f>
        <v>2020</v>
      </c>
      <c r="D113" s="1" t="str">
        <f>IF(YEAR(yt_sports_channels_stats[[#This Row],[Start Date]])&lt;2011,"Old Gen",IF(AND(YEAR(yt_sports_channels_stats[[#This Row],[Start Date]]&gt;2011),YEAR(yt_sports_channels_stats[[#This Row],[Start Date]])&lt;2020),"Mid Gen","New Gen"))</f>
        <v>New Gen</v>
      </c>
      <c r="E113">
        <v>801</v>
      </c>
      <c r="F113">
        <v>230075</v>
      </c>
      <c r="G113">
        <f>yt_sports_channels_stats[[#This Row],[view_count]]/yt_sports_channels_stats[[#This Row],[video_count]]</f>
        <v>287.23470661672911</v>
      </c>
      <c r="H113" s="4">
        <f>yt_sports_channels_stats[[#This Row],[subscriber_count]]/yt_sports_channels_stats[[#This Row],[view_count]]</f>
        <v>7.7366076279474089E-3</v>
      </c>
      <c r="I113">
        <v>1780</v>
      </c>
    </row>
    <row r="114" spans="1:9" x14ac:dyDescent="0.25">
      <c r="A114" t="s">
        <v>115</v>
      </c>
      <c r="B114" s="1">
        <v>39863</v>
      </c>
      <c r="C114">
        <f>YEAR(yt_sports_channels_stats[[#This Row],[Start Date]])</f>
        <v>2009</v>
      </c>
      <c r="D114" s="1" t="str">
        <f>IF(YEAR(yt_sports_channels_stats[[#This Row],[Start Date]])&lt;2011,"Old Gen",IF(AND(YEAR(yt_sports_channels_stats[[#This Row],[Start Date]]&gt;2011),YEAR(yt_sports_channels_stats[[#This Row],[Start Date]])&lt;2020),"Mid Gen","New Gen"))</f>
        <v>Old Gen</v>
      </c>
      <c r="E114">
        <v>7288</v>
      </c>
      <c r="F114">
        <v>736543778</v>
      </c>
      <c r="G114">
        <f>yt_sports_channels_stats[[#This Row],[view_count]]/yt_sports_channels_stats[[#This Row],[video_count]]</f>
        <v>101062.53814489572</v>
      </c>
      <c r="H114" s="4">
        <f>yt_sports_channels_stats[[#This Row],[subscriber_count]]/yt_sports_channels_stats[[#This Row],[view_count]]</f>
        <v>2.1858850051951696E-3</v>
      </c>
      <c r="I114">
        <v>1610000</v>
      </c>
    </row>
    <row r="115" spans="1:9" x14ac:dyDescent="0.25">
      <c r="A115" t="s">
        <v>116</v>
      </c>
      <c r="B115" s="1">
        <v>43298</v>
      </c>
      <c r="C115">
        <f>YEAR(yt_sports_channels_stats[[#This Row],[Start Date]])</f>
        <v>2018</v>
      </c>
      <c r="D115" s="1" t="str">
        <f>IF(YEAR(yt_sports_channels_stats[[#This Row],[Start Date]])&lt;2011,"Old Gen",IF(AND(YEAR(yt_sports_channels_stats[[#This Row],[Start Date]]&gt;2011),YEAR(yt_sports_channels_stats[[#This Row],[Start Date]])&lt;2020),"Mid Gen","New Gen"))</f>
        <v>Mid Gen</v>
      </c>
      <c r="E115">
        <v>3260</v>
      </c>
      <c r="F115">
        <v>319583598</v>
      </c>
      <c r="G115">
        <f>yt_sports_channels_stats[[#This Row],[view_count]]/yt_sports_channels_stats[[#This Row],[video_count]]</f>
        <v>98031.778527607355</v>
      </c>
      <c r="H115" s="4">
        <f>yt_sports_channels_stats[[#This Row],[subscriber_count]]/yt_sports_channels_stats[[#This Row],[view_count]]</f>
        <v>2.2904805020688202E-3</v>
      </c>
      <c r="I115">
        <v>732000</v>
      </c>
    </row>
    <row r="116" spans="1:9" x14ac:dyDescent="0.25">
      <c r="A116" t="s">
        <v>117</v>
      </c>
      <c r="B116" s="1">
        <v>41818</v>
      </c>
      <c r="C116">
        <f>YEAR(yt_sports_channels_stats[[#This Row],[Start Date]])</f>
        <v>2014</v>
      </c>
      <c r="D116" s="1" t="str">
        <f>IF(YEAR(yt_sports_channels_stats[[#This Row],[Start Date]])&lt;2011,"Old Gen",IF(AND(YEAR(yt_sports_channels_stats[[#This Row],[Start Date]]&gt;2011),YEAR(yt_sports_channels_stats[[#This Row],[Start Date]])&lt;2020),"Mid Gen","New Gen"))</f>
        <v>Mid Gen</v>
      </c>
      <c r="E116">
        <v>261</v>
      </c>
      <c r="F116">
        <v>14016432</v>
      </c>
      <c r="G116">
        <f>yt_sports_channels_stats[[#This Row],[view_count]]/yt_sports_channels_stats[[#This Row],[video_count]]</f>
        <v>53702.80459770115</v>
      </c>
      <c r="H116" s="4">
        <f>yt_sports_channels_stats[[#This Row],[subscriber_count]]/yt_sports_channels_stats[[#This Row],[view_count]]</f>
        <v>1.0701724946833831E-2</v>
      </c>
      <c r="I116">
        <v>150000</v>
      </c>
    </row>
    <row r="117" spans="1:9" x14ac:dyDescent="0.25">
      <c r="A117" t="s">
        <v>118</v>
      </c>
      <c r="B117" s="1">
        <v>41961</v>
      </c>
      <c r="C117">
        <f>YEAR(yt_sports_channels_stats[[#This Row],[Start Date]])</f>
        <v>2014</v>
      </c>
      <c r="D117" s="1" t="str">
        <f>IF(YEAR(yt_sports_channels_stats[[#This Row],[Start Date]])&lt;2011,"Old Gen",IF(AND(YEAR(yt_sports_channels_stats[[#This Row],[Start Date]]&gt;2011),YEAR(yt_sports_channels_stats[[#This Row],[Start Date]])&lt;2020),"Mid Gen","New Gen"))</f>
        <v>Mid Gen</v>
      </c>
      <c r="E117">
        <v>6041</v>
      </c>
      <c r="F117">
        <v>119898053</v>
      </c>
      <c r="G117">
        <f>yt_sports_channels_stats[[#This Row],[view_count]]/yt_sports_channels_stats[[#This Row],[video_count]]</f>
        <v>19847.385035590134</v>
      </c>
      <c r="H117" s="4">
        <f>yt_sports_channels_stats[[#This Row],[subscriber_count]]/yt_sports_channels_stats[[#This Row],[view_count]]</f>
        <v>7.8816959604840284E-3</v>
      </c>
      <c r="I117">
        <v>945000</v>
      </c>
    </row>
    <row r="118" spans="1:9" x14ac:dyDescent="0.25">
      <c r="A118" t="s">
        <v>119</v>
      </c>
      <c r="B118" s="1">
        <v>44517</v>
      </c>
      <c r="C118">
        <f>YEAR(yt_sports_channels_stats[[#This Row],[Start Date]])</f>
        <v>2021</v>
      </c>
      <c r="D118" s="1" t="str">
        <f>IF(YEAR(yt_sports_channels_stats[[#This Row],[Start Date]])&lt;2011,"Old Gen",IF(AND(YEAR(yt_sports_channels_stats[[#This Row],[Start Date]]&gt;2011),YEAR(yt_sports_channels_stats[[#This Row],[Start Date]])&lt;2020),"Mid Gen","New Gen"))</f>
        <v>New Gen</v>
      </c>
      <c r="E118">
        <v>806</v>
      </c>
      <c r="F118">
        <v>79304514</v>
      </c>
      <c r="G118">
        <f>yt_sports_channels_stats[[#This Row],[view_count]]/yt_sports_channels_stats[[#This Row],[video_count]]</f>
        <v>98392.697270471457</v>
      </c>
      <c r="H118" s="4">
        <f>yt_sports_channels_stats[[#This Row],[subscriber_count]]/yt_sports_channels_stats[[#This Row],[view_count]]</f>
        <v>1.0453377218855411E-3</v>
      </c>
      <c r="I118">
        <v>82900</v>
      </c>
    </row>
    <row r="119" spans="1:9" x14ac:dyDescent="0.25">
      <c r="A119" t="s">
        <v>120</v>
      </c>
      <c r="B119" s="1">
        <v>42650</v>
      </c>
      <c r="C119">
        <f>YEAR(yt_sports_channels_stats[[#This Row],[Start Date]])</f>
        <v>2016</v>
      </c>
      <c r="D119" s="1" t="str">
        <f>IF(YEAR(yt_sports_channels_stats[[#This Row],[Start Date]])&lt;2011,"Old Gen",IF(AND(YEAR(yt_sports_channels_stats[[#This Row],[Start Date]]&gt;2011),YEAR(yt_sports_channels_stats[[#This Row],[Start Date]])&lt;2020),"Mid Gen","New Gen"))</f>
        <v>Mid Gen</v>
      </c>
      <c r="E119">
        <v>2174</v>
      </c>
      <c r="F119">
        <v>77334885</v>
      </c>
      <c r="G119">
        <f>yt_sports_channels_stats[[#This Row],[view_count]]/yt_sports_channels_stats[[#This Row],[video_count]]</f>
        <v>35572.6241950322</v>
      </c>
      <c r="H119" s="4">
        <f>yt_sports_channels_stats[[#This Row],[subscriber_count]]/yt_sports_channels_stats[[#This Row],[view_count]]</f>
        <v>3.1680398826480442E-3</v>
      </c>
      <c r="I119">
        <v>245000</v>
      </c>
    </row>
    <row r="120" spans="1:9" x14ac:dyDescent="0.25">
      <c r="A120" t="s">
        <v>121</v>
      </c>
      <c r="B120" s="1">
        <v>42837</v>
      </c>
      <c r="C120">
        <f>YEAR(yt_sports_channels_stats[[#This Row],[Start Date]])</f>
        <v>2017</v>
      </c>
      <c r="D120" s="1" t="str">
        <f>IF(YEAR(yt_sports_channels_stats[[#This Row],[Start Date]])&lt;2011,"Old Gen",IF(AND(YEAR(yt_sports_channels_stats[[#This Row],[Start Date]]&gt;2011),YEAR(yt_sports_channels_stats[[#This Row],[Start Date]])&lt;2020),"Mid Gen","New Gen"))</f>
        <v>Mid Gen</v>
      </c>
      <c r="E120">
        <v>4989</v>
      </c>
      <c r="F120">
        <v>57178297</v>
      </c>
      <c r="G120">
        <f>yt_sports_channels_stats[[#This Row],[view_count]]/yt_sports_channels_stats[[#This Row],[video_count]]</f>
        <v>11460.873321306875</v>
      </c>
      <c r="H120" s="4">
        <f>yt_sports_channels_stats[[#This Row],[subscriber_count]]/yt_sports_channels_stats[[#This Row],[view_count]]</f>
        <v>2.4834597644627296E-3</v>
      </c>
      <c r="I120">
        <v>142000</v>
      </c>
    </row>
    <row r="121" spans="1:9" x14ac:dyDescent="0.25">
      <c r="A121" t="s">
        <v>122</v>
      </c>
      <c r="B121" s="1">
        <v>43124</v>
      </c>
      <c r="C121">
        <f>YEAR(yt_sports_channels_stats[[#This Row],[Start Date]])</f>
        <v>2018</v>
      </c>
      <c r="D121" s="1" t="str">
        <f>IF(YEAR(yt_sports_channels_stats[[#This Row],[Start Date]])&lt;2011,"Old Gen",IF(AND(YEAR(yt_sports_channels_stats[[#This Row],[Start Date]]&gt;2011),YEAR(yt_sports_channels_stats[[#This Row],[Start Date]])&lt;2020),"Mid Gen","New Gen"))</f>
        <v>Mid Gen</v>
      </c>
      <c r="E121">
        <v>10801</v>
      </c>
      <c r="F121">
        <v>12260723</v>
      </c>
      <c r="G121">
        <f>yt_sports_channels_stats[[#This Row],[view_count]]/yt_sports_channels_stats[[#This Row],[video_count]]</f>
        <v>1135.147023423757</v>
      </c>
      <c r="H121" s="4">
        <f>yt_sports_channels_stats[[#This Row],[subscriber_count]]/yt_sports_channels_stats[[#This Row],[view_count]]</f>
        <v>4.2901222056806925E-3</v>
      </c>
      <c r="I121">
        <v>52600</v>
      </c>
    </row>
    <row r="122" spans="1:9" x14ac:dyDescent="0.25">
      <c r="A122" t="s">
        <v>123</v>
      </c>
      <c r="B122" s="1">
        <v>43981</v>
      </c>
      <c r="C122">
        <f>YEAR(yt_sports_channels_stats[[#This Row],[Start Date]])</f>
        <v>2020</v>
      </c>
      <c r="D122" s="1" t="str">
        <f>IF(YEAR(yt_sports_channels_stats[[#This Row],[Start Date]])&lt;2011,"Old Gen",IF(AND(YEAR(yt_sports_channels_stats[[#This Row],[Start Date]]&gt;2011),YEAR(yt_sports_channels_stats[[#This Row],[Start Date]])&lt;2020),"Mid Gen","New Gen"))</f>
        <v>New Gen</v>
      </c>
      <c r="E122">
        <v>1389</v>
      </c>
      <c r="F122">
        <v>14030398</v>
      </c>
      <c r="G122">
        <f>yt_sports_channels_stats[[#This Row],[view_count]]/yt_sports_channels_stats[[#This Row],[video_count]]</f>
        <v>10101.078473722102</v>
      </c>
      <c r="H122" s="4">
        <f>yt_sports_channels_stats[[#This Row],[subscriber_count]]/yt_sports_channels_stats[[#This Row],[view_count]]</f>
        <v>3.9628241479678621E-3</v>
      </c>
      <c r="I122">
        <v>55600</v>
      </c>
    </row>
    <row r="123" spans="1:9" x14ac:dyDescent="0.25">
      <c r="A123" t="s">
        <v>124</v>
      </c>
      <c r="B123" s="1">
        <v>40298</v>
      </c>
      <c r="C123">
        <f>YEAR(yt_sports_channels_stats[[#This Row],[Start Date]])</f>
        <v>2010</v>
      </c>
      <c r="D123" s="1" t="str">
        <f>IF(YEAR(yt_sports_channels_stats[[#This Row],[Start Date]])&lt;2011,"Old Gen",IF(AND(YEAR(yt_sports_channels_stats[[#This Row],[Start Date]]&gt;2011),YEAR(yt_sports_channels_stats[[#This Row],[Start Date]])&lt;2020),"Mid Gen","New Gen"))</f>
        <v>Old Gen</v>
      </c>
      <c r="E123">
        <v>4900</v>
      </c>
      <c r="F123">
        <v>291903899</v>
      </c>
      <c r="G123">
        <f>yt_sports_channels_stats[[#This Row],[view_count]]/yt_sports_channels_stats[[#This Row],[video_count]]</f>
        <v>59572.224285714285</v>
      </c>
      <c r="H123" s="4">
        <f>yt_sports_channels_stats[[#This Row],[subscriber_count]]/yt_sports_channels_stats[[#This Row],[view_count]]</f>
        <v>1.9355685276406672E-3</v>
      </c>
      <c r="I123">
        <v>565000</v>
      </c>
    </row>
    <row r="124" spans="1:9" x14ac:dyDescent="0.25">
      <c r="A124" t="s">
        <v>125</v>
      </c>
      <c r="B124" s="1">
        <v>42394</v>
      </c>
      <c r="C124">
        <f>YEAR(yt_sports_channels_stats[[#This Row],[Start Date]])</f>
        <v>2016</v>
      </c>
      <c r="D124" s="1" t="str">
        <f>IF(YEAR(yt_sports_channels_stats[[#This Row],[Start Date]])&lt;2011,"Old Gen",IF(AND(YEAR(yt_sports_channels_stats[[#This Row],[Start Date]]&gt;2011),YEAR(yt_sports_channels_stats[[#This Row],[Start Date]])&lt;2020),"Mid Gen","New Gen"))</f>
        <v>Mid Gen</v>
      </c>
      <c r="E124">
        <v>5349</v>
      </c>
      <c r="F124">
        <v>10255893</v>
      </c>
      <c r="G124">
        <f>yt_sports_channels_stats[[#This Row],[view_count]]/yt_sports_channels_stats[[#This Row],[video_count]]</f>
        <v>1917.3477285473921</v>
      </c>
      <c r="H124" s="4">
        <f>yt_sports_channels_stats[[#This Row],[subscriber_count]]/yt_sports_channels_stats[[#This Row],[view_count]]</f>
        <v>1.6478331043430349E-3</v>
      </c>
      <c r="I124">
        <v>16900</v>
      </c>
    </row>
    <row r="125" spans="1:9" x14ac:dyDescent="0.25">
      <c r="A125" t="s">
        <v>126</v>
      </c>
      <c r="B125" s="1">
        <v>42496</v>
      </c>
      <c r="C125">
        <f>YEAR(yt_sports_channels_stats[[#This Row],[Start Date]])</f>
        <v>2016</v>
      </c>
      <c r="D125" s="1" t="str">
        <f>IF(YEAR(yt_sports_channels_stats[[#This Row],[Start Date]])&lt;2011,"Old Gen",IF(AND(YEAR(yt_sports_channels_stats[[#This Row],[Start Date]]&gt;2011),YEAR(yt_sports_channels_stats[[#This Row],[Start Date]])&lt;2020),"Mid Gen","New Gen"))</f>
        <v>Mid Gen</v>
      </c>
      <c r="E125">
        <v>4437</v>
      </c>
      <c r="F125">
        <v>151756163</v>
      </c>
      <c r="G125">
        <f>yt_sports_channels_stats[[#This Row],[view_count]]/yt_sports_channels_stats[[#This Row],[video_count]]</f>
        <v>34202.425738111335</v>
      </c>
      <c r="H125" s="4">
        <f>yt_sports_channels_stats[[#This Row],[subscriber_count]]/yt_sports_channels_stats[[#This Row],[view_count]]</f>
        <v>3.6967197174061391E-3</v>
      </c>
      <c r="I125">
        <v>561000</v>
      </c>
    </row>
    <row r="126" spans="1:9" x14ac:dyDescent="0.25">
      <c r="A126" t="s">
        <v>127</v>
      </c>
      <c r="B126" s="1">
        <v>40020</v>
      </c>
      <c r="C126">
        <f>YEAR(yt_sports_channels_stats[[#This Row],[Start Date]])</f>
        <v>2009</v>
      </c>
      <c r="D126" s="1" t="str">
        <f>IF(YEAR(yt_sports_channels_stats[[#This Row],[Start Date]])&lt;2011,"Old Gen",IF(AND(YEAR(yt_sports_channels_stats[[#This Row],[Start Date]]&gt;2011),YEAR(yt_sports_channels_stats[[#This Row],[Start Date]])&lt;2020),"Mid Gen","New Gen"))</f>
        <v>Old Gen</v>
      </c>
      <c r="E126">
        <v>821</v>
      </c>
      <c r="F126">
        <v>899232758</v>
      </c>
      <c r="G126">
        <f>yt_sports_channels_stats[[#This Row],[view_count]]/yt_sports_channels_stats[[#This Row],[video_count]]</f>
        <v>1095289.5956151036</v>
      </c>
      <c r="H126" s="4">
        <f>yt_sports_channels_stats[[#This Row],[subscriber_count]]/yt_sports_channels_stats[[#This Row],[view_count]]</f>
        <v>5.6715015713428895E-3</v>
      </c>
      <c r="I126">
        <v>5100000</v>
      </c>
    </row>
    <row r="127" spans="1:9" x14ac:dyDescent="0.25">
      <c r="A127" t="s">
        <v>128</v>
      </c>
      <c r="B127" s="1">
        <v>42468</v>
      </c>
      <c r="C127">
        <f>YEAR(yt_sports_channels_stats[[#This Row],[Start Date]])</f>
        <v>2016</v>
      </c>
      <c r="D127" s="1" t="str">
        <f>IF(YEAR(yt_sports_channels_stats[[#This Row],[Start Date]])&lt;2011,"Old Gen",IF(AND(YEAR(yt_sports_channels_stats[[#This Row],[Start Date]]&gt;2011),YEAR(yt_sports_channels_stats[[#This Row],[Start Date]])&lt;2020),"Mid Gen","New Gen"))</f>
        <v>Mid Gen</v>
      </c>
      <c r="E127">
        <v>3397</v>
      </c>
      <c r="F127">
        <v>175554388</v>
      </c>
      <c r="G127">
        <f>yt_sports_channels_stats[[#This Row],[view_count]]/yt_sports_channels_stats[[#This Row],[video_count]]</f>
        <v>51679.242861348248</v>
      </c>
      <c r="H127" s="4">
        <f>yt_sports_channels_stats[[#This Row],[subscriber_count]]/yt_sports_channels_stats[[#This Row],[view_count]]</f>
        <v>1.9993803857525907E-3</v>
      </c>
      <c r="I127">
        <v>351000</v>
      </c>
    </row>
    <row r="128" spans="1:9" x14ac:dyDescent="0.25">
      <c r="A128" t="s">
        <v>129</v>
      </c>
      <c r="B128" s="1">
        <v>42980</v>
      </c>
      <c r="C128">
        <f>YEAR(yt_sports_channels_stats[[#This Row],[Start Date]])</f>
        <v>2017</v>
      </c>
      <c r="D128" s="1" t="str">
        <f>IF(YEAR(yt_sports_channels_stats[[#This Row],[Start Date]])&lt;2011,"Old Gen",IF(AND(YEAR(yt_sports_channels_stats[[#This Row],[Start Date]]&gt;2011),YEAR(yt_sports_channels_stats[[#This Row],[Start Date]])&lt;2020),"Mid Gen","New Gen"))</f>
        <v>Mid Gen</v>
      </c>
      <c r="E128">
        <v>4135</v>
      </c>
      <c r="F128">
        <v>6048376</v>
      </c>
      <c r="G128">
        <f>yt_sports_channels_stats[[#This Row],[view_count]]/yt_sports_channels_stats[[#This Row],[video_count]]</f>
        <v>1462.7269649334946</v>
      </c>
      <c r="H128" s="4">
        <f>yt_sports_channels_stats[[#This Row],[subscriber_count]]/yt_sports_channels_stats[[#This Row],[view_count]]</f>
        <v>4.2986745533015805E-3</v>
      </c>
      <c r="I128">
        <v>26000</v>
      </c>
    </row>
    <row r="129" spans="1:9" x14ac:dyDescent="0.25">
      <c r="A129" t="s">
        <v>130</v>
      </c>
      <c r="B129" s="1">
        <v>41505</v>
      </c>
      <c r="C129">
        <f>YEAR(yt_sports_channels_stats[[#This Row],[Start Date]])</f>
        <v>2013</v>
      </c>
      <c r="D129" s="1" t="str">
        <f>IF(YEAR(yt_sports_channels_stats[[#This Row],[Start Date]])&lt;2011,"Old Gen",IF(AND(YEAR(yt_sports_channels_stats[[#This Row],[Start Date]]&gt;2011),YEAR(yt_sports_channels_stats[[#This Row],[Start Date]])&lt;2020),"Mid Gen","New Gen"))</f>
        <v>Mid Gen</v>
      </c>
      <c r="E129">
        <v>6519</v>
      </c>
      <c r="F129">
        <v>322112417</v>
      </c>
      <c r="G129">
        <f>yt_sports_channels_stats[[#This Row],[view_count]]/yt_sports_channels_stats[[#This Row],[video_count]]</f>
        <v>49411.323362478906</v>
      </c>
      <c r="H129" s="4">
        <f>yt_sports_channels_stats[[#This Row],[subscriber_count]]/yt_sports_channels_stats[[#This Row],[view_count]]</f>
        <v>1.2355934729458133E-3</v>
      </c>
      <c r="I129">
        <v>398000</v>
      </c>
    </row>
    <row r="130" spans="1:9" x14ac:dyDescent="0.25">
      <c r="A130" t="s">
        <v>131</v>
      </c>
      <c r="B130" s="1">
        <v>42690</v>
      </c>
      <c r="C130">
        <f>YEAR(yt_sports_channels_stats[[#This Row],[Start Date]])</f>
        <v>2016</v>
      </c>
      <c r="D130" s="1" t="str">
        <f>IF(YEAR(yt_sports_channels_stats[[#This Row],[Start Date]])&lt;2011,"Old Gen",IF(AND(YEAR(yt_sports_channels_stats[[#This Row],[Start Date]]&gt;2011),YEAR(yt_sports_channels_stats[[#This Row],[Start Date]])&lt;2020),"Mid Gen","New Gen"))</f>
        <v>Mid Gen</v>
      </c>
      <c r="E130">
        <v>104</v>
      </c>
      <c r="F130">
        <v>219881878</v>
      </c>
      <c r="G130">
        <f>yt_sports_channels_stats[[#This Row],[view_count]]/yt_sports_channels_stats[[#This Row],[video_count]]</f>
        <v>2114248.826923077</v>
      </c>
      <c r="H130" s="4">
        <f>yt_sports_channels_stats[[#This Row],[subscriber_count]]/yt_sports_channels_stats[[#This Row],[view_count]]</f>
        <v>1.3052462649968816E-3</v>
      </c>
      <c r="I130">
        <v>287000</v>
      </c>
    </row>
    <row r="131" spans="1:9" x14ac:dyDescent="0.25">
      <c r="A131" t="s">
        <v>132</v>
      </c>
      <c r="B131" s="1">
        <v>43605</v>
      </c>
      <c r="C131">
        <f>YEAR(yt_sports_channels_stats[[#This Row],[Start Date]])</f>
        <v>2019</v>
      </c>
      <c r="D131" s="1" t="str">
        <f>IF(YEAR(yt_sports_channels_stats[[#This Row],[Start Date]])&lt;2011,"Old Gen",IF(AND(YEAR(yt_sports_channels_stats[[#This Row],[Start Date]]&gt;2011),YEAR(yt_sports_channels_stats[[#This Row],[Start Date]])&lt;2020),"Mid Gen","New Gen"))</f>
        <v>Mid Gen</v>
      </c>
      <c r="E131">
        <v>687</v>
      </c>
      <c r="F131">
        <v>22681360</v>
      </c>
      <c r="G131">
        <f>yt_sports_channels_stats[[#This Row],[view_count]]/yt_sports_channels_stats[[#This Row],[video_count]]</f>
        <v>33015.080058224165</v>
      </c>
      <c r="H131" s="4">
        <f>yt_sports_channels_stats[[#This Row],[subscriber_count]]/yt_sports_channels_stats[[#This Row],[view_count]]</f>
        <v>9.3468821975401829E-3</v>
      </c>
      <c r="I131">
        <v>212000</v>
      </c>
    </row>
    <row r="132" spans="1:9" x14ac:dyDescent="0.25">
      <c r="A132" t="s">
        <v>133</v>
      </c>
      <c r="B132" s="1">
        <v>43600</v>
      </c>
      <c r="C132">
        <f>YEAR(yt_sports_channels_stats[[#This Row],[Start Date]])</f>
        <v>2019</v>
      </c>
      <c r="D132" s="1" t="str">
        <f>IF(YEAR(yt_sports_channels_stats[[#This Row],[Start Date]])&lt;2011,"Old Gen",IF(AND(YEAR(yt_sports_channels_stats[[#This Row],[Start Date]]&gt;2011),YEAR(yt_sports_channels_stats[[#This Row],[Start Date]])&lt;2020),"Mid Gen","New Gen"))</f>
        <v>Mid Gen</v>
      </c>
      <c r="E132">
        <v>1014</v>
      </c>
      <c r="F132">
        <v>77256110</v>
      </c>
      <c r="G132">
        <f>yt_sports_channels_stats[[#This Row],[view_count]]/yt_sports_channels_stats[[#This Row],[video_count]]</f>
        <v>76189.457593688363</v>
      </c>
      <c r="H132" s="4">
        <f>yt_sports_channels_stats[[#This Row],[subscriber_count]]/yt_sports_channels_stats[[#This Row],[view_count]]</f>
        <v>3.9608517695234723E-3</v>
      </c>
      <c r="I132">
        <v>306000</v>
      </c>
    </row>
    <row r="133" spans="1:9" x14ac:dyDescent="0.25">
      <c r="A133" t="s">
        <v>134</v>
      </c>
      <c r="B133" s="1">
        <v>43965</v>
      </c>
      <c r="C133">
        <f>YEAR(yt_sports_channels_stats[[#This Row],[Start Date]])</f>
        <v>2020</v>
      </c>
      <c r="D133" s="1" t="str">
        <f>IF(YEAR(yt_sports_channels_stats[[#This Row],[Start Date]])&lt;2011,"Old Gen",IF(AND(YEAR(yt_sports_channels_stats[[#This Row],[Start Date]]&gt;2011),YEAR(yt_sports_channels_stats[[#This Row],[Start Date]])&lt;2020),"Mid Gen","New Gen"))</f>
        <v>New Gen</v>
      </c>
      <c r="E133">
        <v>3670</v>
      </c>
      <c r="F133">
        <v>23626664</v>
      </c>
      <c r="G133">
        <f>yt_sports_channels_stats[[#This Row],[view_count]]/yt_sports_channels_stats[[#This Row],[video_count]]</f>
        <v>6437.7831062670302</v>
      </c>
      <c r="H133" s="4">
        <f>yt_sports_channels_stats[[#This Row],[subscriber_count]]/yt_sports_channels_stats[[#This Row],[view_count]]</f>
        <v>2.8061515582563836E-3</v>
      </c>
      <c r="I133">
        <v>66300</v>
      </c>
    </row>
    <row r="134" spans="1:9" x14ac:dyDescent="0.25">
      <c r="A134" t="s">
        <v>135</v>
      </c>
      <c r="B134" s="1">
        <v>41921</v>
      </c>
      <c r="C134">
        <f>YEAR(yt_sports_channels_stats[[#This Row],[Start Date]])</f>
        <v>2014</v>
      </c>
      <c r="D134" s="1" t="str">
        <f>IF(YEAR(yt_sports_channels_stats[[#This Row],[Start Date]])&lt;2011,"Old Gen",IF(AND(YEAR(yt_sports_channels_stats[[#This Row],[Start Date]]&gt;2011),YEAR(yt_sports_channels_stats[[#This Row],[Start Date]])&lt;2020),"Mid Gen","New Gen"))</f>
        <v>Mid Gen</v>
      </c>
      <c r="E134">
        <v>2282</v>
      </c>
      <c r="F134">
        <v>44829741</v>
      </c>
      <c r="G134">
        <f>yt_sports_channels_stats[[#This Row],[view_count]]/yt_sports_channels_stats[[#This Row],[video_count]]</f>
        <v>19644.934706397897</v>
      </c>
      <c r="H134" s="4">
        <f>yt_sports_channels_stats[[#This Row],[subscriber_count]]/yt_sports_channels_stats[[#This Row],[view_count]]</f>
        <v>2.966780468350241E-3</v>
      </c>
      <c r="I134">
        <v>133000</v>
      </c>
    </row>
    <row r="135" spans="1:9" x14ac:dyDescent="0.25">
      <c r="A135" t="s">
        <v>136</v>
      </c>
      <c r="B135" s="1">
        <v>43761</v>
      </c>
      <c r="C135">
        <f>YEAR(yt_sports_channels_stats[[#This Row],[Start Date]])</f>
        <v>2019</v>
      </c>
      <c r="D135" s="1" t="str">
        <f>IF(YEAR(yt_sports_channels_stats[[#This Row],[Start Date]])&lt;2011,"Old Gen",IF(AND(YEAR(yt_sports_channels_stats[[#This Row],[Start Date]]&gt;2011),YEAR(yt_sports_channels_stats[[#This Row],[Start Date]])&lt;2020),"Mid Gen","New Gen"))</f>
        <v>Mid Gen</v>
      </c>
      <c r="E135">
        <v>1529</v>
      </c>
      <c r="F135">
        <v>13956058</v>
      </c>
      <c r="G135">
        <f>yt_sports_channels_stats[[#This Row],[view_count]]/yt_sports_channels_stats[[#This Row],[video_count]]</f>
        <v>9127.5722694571614</v>
      </c>
      <c r="H135" s="4">
        <f>yt_sports_channels_stats[[#This Row],[subscriber_count]]/yt_sports_channels_stats[[#This Row],[view_count]]</f>
        <v>3.811964667959964E-3</v>
      </c>
      <c r="I135">
        <v>53200</v>
      </c>
    </row>
    <row r="136" spans="1:9" x14ac:dyDescent="0.25">
      <c r="A136" t="s">
        <v>137</v>
      </c>
      <c r="B136" s="1">
        <v>42843</v>
      </c>
      <c r="C136">
        <f>YEAR(yt_sports_channels_stats[[#This Row],[Start Date]])</f>
        <v>2017</v>
      </c>
      <c r="D136" s="1" t="str">
        <f>IF(YEAR(yt_sports_channels_stats[[#This Row],[Start Date]])&lt;2011,"Old Gen",IF(AND(YEAR(yt_sports_channels_stats[[#This Row],[Start Date]]&gt;2011),YEAR(yt_sports_channels_stats[[#This Row],[Start Date]])&lt;2020),"Mid Gen","New Gen"))</f>
        <v>Mid Gen</v>
      </c>
      <c r="E136">
        <v>59</v>
      </c>
      <c r="F136">
        <v>10507439</v>
      </c>
      <c r="G136">
        <f>yt_sports_channels_stats[[#This Row],[view_count]]/yt_sports_channels_stats[[#This Row],[video_count]]</f>
        <v>178092.18644067796</v>
      </c>
      <c r="H136" s="4">
        <f>yt_sports_channels_stats[[#This Row],[subscriber_count]]/yt_sports_channels_stats[[#This Row],[view_count]]</f>
        <v>7.5279999246248303E-3</v>
      </c>
      <c r="I136">
        <v>79100</v>
      </c>
    </row>
    <row r="137" spans="1:9" x14ac:dyDescent="0.25">
      <c r="A137" t="s">
        <v>138</v>
      </c>
      <c r="B137" s="1">
        <v>38972</v>
      </c>
      <c r="C137">
        <f>YEAR(yt_sports_channels_stats[[#This Row],[Start Date]])</f>
        <v>2006</v>
      </c>
      <c r="D137" s="1" t="str">
        <f>IF(YEAR(yt_sports_channels_stats[[#This Row],[Start Date]])&lt;2011,"Old Gen",IF(AND(YEAR(yt_sports_channels_stats[[#This Row],[Start Date]]&gt;2011),YEAR(yt_sports_channels_stats[[#This Row],[Start Date]])&lt;2020),"Mid Gen","New Gen"))</f>
        <v>Old Gen</v>
      </c>
      <c r="E137">
        <v>2849</v>
      </c>
      <c r="F137">
        <v>1251351151</v>
      </c>
      <c r="G137">
        <f>yt_sports_channels_stats[[#This Row],[view_count]]/yt_sports_channels_stats[[#This Row],[video_count]]</f>
        <v>439224.69322569325</v>
      </c>
      <c r="H137" s="4">
        <f>yt_sports_channels_stats[[#This Row],[subscriber_count]]/yt_sports_channels_stats[[#This Row],[view_count]]</f>
        <v>2.4773222108939426E-3</v>
      </c>
      <c r="I137">
        <v>3100000</v>
      </c>
    </row>
    <row r="138" spans="1:9" x14ac:dyDescent="0.25">
      <c r="A138" t="s">
        <v>139</v>
      </c>
      <c r="B138" s="1">
        <v>40634</v>
      </c>
      <c r="C138">
        <f>YEAR(yt_sports_channels_stats[[#This Row],[Start Date]])</f>
        <v>2011</v>
      </c>
      <c r="D138" s="1" t="str">
        <f>IF(YEAR(yt_sports_channels_stats[[#This Row],[Start Date]])&lt;2011,"Old Gen",IF(AND(YEAR(yt_sports_channels_stats[[#This Row],[Start Date]]&gt;2011),YEAR(yt_sports_channels_stats[[#This Row],[Start Date]])&lt;2020),"Mid Gen","New Gen"))</f>
        <v>Mid Gen</v>
      </c>
      <c r="E138">
        <v>22971</v>
      </c>
      <c r="F138">
        <v>605812282</v>
      </c>
      <c r="G138">
        <f>yt_sports_channels_stats[[#This Row],[view_count]]/yt_sports_channels_stats[[#This Row],[video_count]]</f>
        <v>26372.917243480912</v>
      </c>
      <c r="H138" s="4">
        <f>yt_sports_channels_stats[[#This Row],[subscriber_count]]/yt_sports_channels_stats[[#This Row],[view_count]]</f>
        <v>2.888683593905744E-3</v>
      </c>
      <c r="I138">
        <v>1750000</v>
      </c>
    </row>
    <row r="139" spans="1:9" x14ac:dyDescent="0.25">
      <c r="A139" t="s">
        <v>140</v>
      </c>
      <c r="B139" s="1">
        <v>43678</v>
      </c>
      <c r="C139">
        <f>YEAR(yt_sports_channels_stats[[#This Row],[Start Date]])</f>
        <v>2019</v>
      </c>
      <c r="D139" s="1" t="str">
        <f>IF(YEAR(yt_sports_channels_stats[[#This Row],[Start Date]])&lt;2011,"Old Gen",IF(AND(YEAR(yt_sports_channels_stats[[#This Row],[Start Date]]&gt;2011),YEAR(yt_sports_channels_stats[[#This Row],[Start Date]])&lt;2020),"Mid Gen","New Gen"))</f>
        <v>Mid Gen</v>
      </c>
      <c r="E139">
        <v>3614</v>
      </c>
      <c r="F139">
        <v>634778</v>
      </c>
      <c r="G139">
        <f>yt_sports_channels_stats[[#This Row],[view_count]]/yt_sports_channels_stats[[#This Row],[video_count]]</f>
        <v>175.64416159380187</v>
      </c>
      <c r="H139" s="4">
        <f>yt_sports_channels_stats[[#This Row],[subscriber_count]]/yt_sports_channels_stats[[#This Row],[view_count]]</f>
        <v>8.7274606240291888E-3</v>
      </c>
      <c r="I139">
        <v>5540</v>
      </c>
    </row>
    <row r="140" spans="1:9" x14ac:dyDescent="0.25">
      <c r="A140" t="s">
        <v>141</v>
      </c>
      <c r="B140" s="1">
        <v>44492</v>
      </c>
      <c r="C140">
        <f>YEAR(yt_sports_channels_stats[[#This Row],[Start Date]])</f>
        <v>2021</v>
      </c>
      <c r="D140" s="1" t="str">
        <f>IF(YEAR(yt_sports_channels_stats[[#This Row],[Start Date]])&lt;2011,"Old Gen",IF(AND(YEAR(yt_sports_channels_stats[[#This Row],[Start Date]]&gt;2011),YEAR(yt_sports_channels_stats[[#This Row],[Start Date]])&lt;2020),"Mid Gen","New Gen"))</f>
        <v>New Gen</v>
      </c>
      <c r="E140">
        <v>209</v>
      </c>
      <c r="F140">
        <v>10717632</v>
      </c>
      <c r="G140">
        <f>yt_sports_channels_stats[[#This Row],[view_count]]/yt_sports_channels_stats[[#This Row],[video_count]]</f>
        <v>51280.535885167461</v>
      </c>
      <c r="H140" s="4">
        <f>yt_sports_channels_stats[[#This Row],[subscriber_count]]/yt_sports_channels_stats[[#This Row],[view_count]]</f>
        <v>3.0697079354842561E-3</v>
      </c>
      <c r="I140">
        <v>32900</v>
      </c>
    </row>
    <row r="141" spans="1:9" x14ac:dyDescent="0.25">
      <c r="A141" t="s">
        <v>142</v>
      </c>
      <c r="B141" s="1">
        <v>41487</v>
      </c>
      <c r="C141">
        <f>YEAR(yt_sports_channels_stats[[#This Row],[Start Date]])</f>
        <v>2013</v>
      </c>
      <c r="D141" s="1" t="str">
        <f>IF(YEAR(yt_sports_channels_stats[[#This Row],[Start Date]])&lt;2011,"Old Gen",IF(AND(YEAR(yt_sports_channels_stats[[#This Row],[Start Date]]&gt;2011),YEAR(yt_sports_channels_stats[[#This Row],[Start Date]])&lt;2020),"Mid Gen","New Gen"))</f>
        <v>Mid Gen</v>
      </c>
      <c r="E141">
        <v>2241</v>
      </c>
      <c r="F141">
        <v>1274260</v>
      </c>
      <c r="G141">
        <f>yt_sports_channels_stats[[#This Row],[view_count]]/yt_sports_channels_stats[[#This Row],[video_count]]</f>
        <v>568.6122266845158</v>
      </c>
      <c r="H141" s="4">
        <f>yt_sports_channels_stats[[#This Row],[subscriber_count]]/yt_sports_channels_stats[[#This Row],[view_count]]</f>
        <v>5.4070597837176087E-3</v>
      </c>
      <c r="I141">
        <v>6890</v>
      </c>
    </row>
    <row r="142" spans="1:9" x14ac:dyDescent="0.25">
      <c r="A142" t="s">
        <v>143</v>
      </c>
      <c r="B142" s="1">
        <v>43361</v>
      </c>
      <c r="C142">
        <f>YEAR(yt_sports_channels_stats[[#This Row],[Start Date]])</f>
        <v>2018</v>
      </c>
      <c r="D142" s="1" t="str">
        <f>IF(YEAR(yt_sports_channels_stats[[#This Row],[Start Date]])&lt;2011,"Old Gen",IF(AND(YEAR(yt_sports_channels_stats[[#This Row],[Start Date]]&gt;2011),YEAR(yt_sports_channels_stats[[#This Row],[Start Date]])&lt;2020),"Mid Gen","New Gen"))</f>
        <v>Mid Gen</v>
      </c>
      <c r="E142">
        <v>11473</v>
      </c>
      <c r="F142">
        <v>31099531</v>
      </c>
      <c r="G142">
        <f>yt_sports_channels_stats[[#This Row],[view_count]]/yt_sports_channels_stats[[#This Row],[video_count]]</f>
        <v>2710.6712281007585</v>
      </c>
      <c r="H142" s="4">
        <f>yt_sports_channels_stats[[#This Row],[subscriber_count]]/yt_sports_channels_stats[[#This Row],[view_count]]</f>
        <v>1.5048458447813893E-3</v>
      </c>
      <c r="I142">
        <v>46800</v>
      </c>
    </row>
    <row r="143" spans="1:9" x14ac:dyDescent="0.25">
      <c r="A143" t="s">
        <v>144</v>
      </c>
      <c r="B143" s="1">
        <v>42740</v>
      </c>
      <c r="C143">
        <f>YEAR(yt_sports_channels_stats[[#This Row],[Start Date]])</f>
        <v>2017</v>
      </c>
      <c r="D143" s="1" t="str">
        <f>IF(YEAR(yt_sports_channels_stats[[#This Row],[Start Date]])&lt;2011,"Old Gen",IF(AND(YEAR(yt_sports_channels_stats[[#This Row],[Start Date]]&gt;2011),YEAR(yt_sports_channels_stats[[#This Row],[Start Date]])&lt;2020),"Mid Gen","New Gen"))</f>
        <v>Mid Gen</v>
      </c>
      <c r="E143">
        <v>3172</v>
      </c>
      <c r="F143">
        <v>2686094</v>
      </c>
      <c r="G143">
        <f>yt_sports_channels_stats[[#This Row],[view_count]]/yt_sports_channels_stats[[#This Row],[video_count]]</f>
        <v>846.81399747793193</v>
      </c>
      <c r="H143" s="4">
        <f>yt_sports_channels_stats[[#This Row],[subscriber_count]]/yt_sports_channels_stats[[#This Row],[view_count]]</f>
        <v>4.2440808102769297E-3</v>
      </c>
      <c r="I143">
        <v>11400</v>
      </c>
    </row>
    <row r="144" spans="1:9" x14ac:dyDescent="0.25">
      <c r="A144" t="s">
        <v>145</v>
      </c>
      <c r="B144" s="1">
        <v>43606</v>
      </c>
      <c r="C144">
        <f>YEAR(yt_sports_channels_stats[[#This Row],[Start Date]])</f>
        <v>2019</v>
      </c>
      <c r="D144" s="1" t="str">
        <f>IF(YEAR(yt_sports_channels_stats[[#This Row],[Start Date]])&lt;2011,"Old Gen",IF(AND(YEAR(yt_sports_channels_stats[[#This Row],[Start Date]]&gt;2011),YEAR(yt_sports_channels_stats[[#This Row],[Start Date]])&lt;2020),"Mid Gen","New Gen"))</f>
        <v>Mid Gen</v>
      </c>
      <c r="E144">
        <v>227</v>
      </c>
      <c r="F144">
        <v>6380288</v>
      </c>
      <c r="G144">
        <f>yt_sports_channels_stats[[#This Row],[view_count]]/yt_sports_channels_stats[[#This Row],[video_count]]</f>
        <v>28106.995594713655</v>
      </c>
      <c r="H144" s="4">
        <f>yt_sports_channels_stats[[#This Row],[subscriber_count]]/yt_sports_channels_stats[[#This Row],[view_count]]</f>
        <v>9.0121323676924936E-3</v>
      </c>
      <c r="I144">
        <v>57500</v>
      </c>
    </row>
    <row r="145" spans="1:9" x14ac:dyDescent="0.25">
      <c r="A145" t="s">
        <v>146</v>
      </c>
      <c r="B145" s="1">
        <v>43543</v>
      </c>
      <c r="C145">
        <f>YEAR(yt_sports_channels_stats[[#This Row],[Start Date]])</f>
        <v>2019</v>
      </c>
      <c r="D145" s="1" t="str">
        <f>IF(YEAR(yt_sports_channels_stats[[#This Row],[Start Date]])&lt;2011,"Old Gen",IF(AND(YEAR(yt_sports_channels_stats[[#This Row],[Start Date]]&gt;2011),YEAR(yt_sports_channels_stats[[#This Row],[Start Date]])&lt;2020),"Mid Gen","New Gen"))</f>
        <v>Mid Gen</v>
      </c>
      <c r="E145">
        <v>1587</v>
      </c>
      <c r="F145">
        <v>12019452</v>
      </c>
      <c r="G145">
        <f>yt_sports_channels_stats[[#This Row],[view_count]]/yt_sports_channels_stats[[#This Row],[video_count]]</f>
        <v>7573.6937618147449</v>
      </c>
      <c r="H145" s="4">
        <f>yt_sports_channels_stats[[#This Row],[subscriber_count]]/yt_sports_channels_stats[[#This Row],[view_count]]</f>
        <v>5.4827790817751094E-3</v>
      </c>
      <c r="I145">
        <v>65900</v>
      </c>
    </row>
    <row r="146" spans="1:9" x14ac:dyDescent="0.25">
      <c r="A146" t="s">
        <v>147</v>
      </c>
      <c r="B146" s="1">
        <v>43769</v>
      </c>
      <c r="C146">
        <f>YEAR(yt_sports_channels_stats[[#This Row],[Start Date]])</f>
        <v>2019</v>
      </c>
      <c r="D146" s="1" t="str">
        <f>IF(YEAR(yt_sports_channels_stats[[#This Row],[Start Date]])&lt;2011,"Old Gen",IF(AND(YEAR(yt_sports_channels_stats[[#This Row],[Start Date]]&gt;2011),YEAR(yt_sports_channels_stats[[#This Row],[Start Date]])&lt;2020),"Mid Gen","New Gen"))</f>
        <v>Mid Gen</v>
      </c>
      <c r="E146">
        <v>9</v>
      </c>
      <c r="F146">
        <v>833903</v>
      </c>
      <c r="G146">
        <f>yt_sports_channels_stats[[#This Row],[view_count]]/yt_sports_channels_stats[[#This Row],[video_count]]</f>
        <v>92655.888888888891</v>
      </c>
      <c r="H146" s="4">
        <f>yt_sports_channels_stats[[#This Row],[subscriber_count]]/yt_sports_channels_stats[[#This Row],[view_count]]</f>
        <v>2.8300653673149034E-3</v>
      </c>
      <c r="I146">
        <v>2360</v>
      </c>
    </row>
    <row r="147" spans="1:9" x14ac:dyDescent="0.25">
      <c r="A147" t="s">
        <v>148</v>
      </c>
      <c r="B147" s="1">
        <v>44125</v>
      </c>
      <c r="C147">
        <f>YEAR(yt_sports_channels_stats[[#This Row],[Start Date]])</f>
        <v>2020</v>
      </c>
      <c r="D147" s="1" t="str">
        <f>IF(YEAR(yt_sports_channels_stats[[#This Row],[Start Date]])&lt;2011,"Old Gen",IF(AND(YEAR(yt_sports_channels_stats[[#This Row],[Start Date]]&gt;2011),YEAR(yt_sports_channels_stats[[#This Row],[Start Date]])&lt;2020),"Mid Gen","New Gen"))</f>
        <v>New Gen</v>
      </c>
      <c r="E147">
        <v>190</v>
      </c>
      <c r="F147">
        <v>91011</v>
      </c>
      <c r="G147">
        <f>yt_sports_channels_stats[[#This Row],[view_count]]/yt_sports_channels_stats[[#This Row],[video_count]]</f>
        <v>479.00526315789472</v>
      </c>
      <c r="H147" s="4">
        <f>yt_sports_channels_stats[[#This Row],[subscriber_count]]/yt_sports_channels_stats[[#This Row],[view_count]]</f>
        <v>3.3842063047323949E-2</v>
      </c>
      <c r="I147">
        <v>3080</v>
      </c>
    </row>
    <row r="148" spans="1:9" x14ac:dyDescent="0.25">
      <c r="A148" t="s">
        <v>149</v>
      </c>
      <c r="B148" s="1">
        <v>41382</v>
      </c>
      <c r="C148">
        <f>YEAR(yt_sports_channels_stats[[#This Row],[Start Date]])</f>
        <v>2013</v>
      </c>
      <c r="D148" s="1" t="str">
        <f>IF(YEAR(yt_sports_channels_stats[[#This Row],[Start Date]])&lt;2011,"Old Gen",IF(AND(YEAR(yt_sports_channels_stats[[#This Row],[Start Date]]&gt;2011),YEAR(yt_sports_channels_stats[[#This Row],[Start Date]])&lt;2020),"Mid Gen","New Gen"))</f>
        <v>Mid Gen</v>
      </c>
      <c r="E148">
        <v>12044</v>
      </c>
      <c r="F148">
        <v>988342639</v>
      </c>
      <c r="G148">
        <f>yt_sports_channels_stats[[#This Row],[view_count]]/yt_sports_channels_stats[[#This Row],[video_count]]</f>
        <v>82060.996263699766</v>
      </c>
      <c r="H148" s="4">
        <f>yt_sports_channels_stats[[#This Row],[subscriber_count]]/yt_sports_channels_stats[[#This Row],[view_count]]</f>
        <v>2.2866563788916934E-3</v>
      </c>
      <c r="I148">
        <v>2260000</v>
      </c>
    </row>
    <row r="149" spans="1:9" x14ac:dyDescent="0.25">
      <c r="A149" t="s">
        <v>150</v>
      </c>
      <c r="B149" s="1">
        <v>44730</v>
      </c>
      <c r="C149">
        <f>YEAR(yt_sports_channels_stats[[#This Row],[Start Date]])</f>
        <v>2022</v>
      </c>
      <c r="D149" s="1" t="str">
        <f>IF(YEAR(yt_sports_channels_stats[[#This Row],[Start Date]])&lt;2011,"Old Gen",IF(AND(YEAR(yt_sports_channels_stats[[#This Row],[Start Date]]&gt;2011),YEAR(yt_sports_channels_stats[[#This Row],[Start Date]])&lt;2020),"Mid Gen","New Gen"))</f>
        <v>New Gen</v>
      </c>
      <c r="E149">
        <v>315</v>
      </c>
      <c r="F149">
        <v>18622813</v>
      </c>
      <c r="G149">
        <f>yt_sports_channels_stats[[#This Row],[view_count]]/yt_sports_channels_stats[[#This Row],[video_count]]</f>
        <v>59120.041269841269</v>
      </c>
      <c r="H149" s="4">
        <f>yt_sports_channels_stats[[#This Row],[subscriber_count]]/yt_sports_channels_stats[[#This Row],[view_count]]</f>
        <v>2.5774838634743313E-3</v>
      </c>
      <c r="I149">
        <v>48000</v>
      </c>
    </row>
    <row r="150" spans="1:9" x14ac:dyDescent="0.25">
      <c r="A150" t="s">
        <v>151</v>
      </c>
      <c r="B150" s="1">
        <v>44038</v>
      </c>
      <c r="C150">
        <f>YEAR(yt_sports_channels_stats[[#This Row],[Start Date]])</f>
        <v>2020</v>
      </c>
      <c r="D150" s="1" t="str">
        <f>IF(YEAR(yt_sports_channels_stats[[#This Row],[Start Date]])&lt;2011,"Old Gen",IF(AND(YEAR(yt_sports_channels_stats[[#This Row],[Start Date]]&gt;2011),YEAR(yt_sports_channels_stats[[#This Row],[Start Date]])&lt;2020),"Mid Gen","New Gen"))</f>
        <v>New Gen</v>
      </c>
      <c r="E150">
        <v>408</v>
      </c>
      <c r="F150">
        <v>2390116</v>
      </c>
      <c r="G150">
        <f>yt_sports_channels_stats[[#This Row],[view_count]]/yt_sports_channels_stats[[#This Row],[video_count]]</f>
        <v>5858.1274509803925</v>
      </c>
      <c r="H150" s="4">
        <f>yt_sports_channels_stats[[#This Row],[subscriber_count]]/yt_sports_channels_stats[[#This Row],[view_count]]</f>
        <v>6.6523967874362582E-3</v>
      </c>
      <c r="I150">
        <v>15900</v>
      </c>
    </row>
    <row r="151" spans="1:9" x14ac:dyDescent="0.25">
      <c r="A151" t="s">
        <v>152</v>
      </c>
      <c r="B151" s="1">
        <v>45044</v>
      </c>
      <c r="C151">
        <f>YEAR(yt_sports_channels_stats[[#This Row],[Start Date]])</f>
        <v>2023</v>
      </c>
      <c r="D151" s="1" t="str">
        <f>IF(YEAR(yt_sports_channels_stats[[#This Row],[Start Date]])&lt;2011,"Old Gen",IF(AND(YEAR(yt_sports_channels_stats[[#This Row],[Start Date]]&gt;2011),YEAR(yt_sports_channels_stats[[#This Row],[Start Date]])&lt;2020),"Mid Gen","New Gen"))</f>
        <v>New Gen</v>
      </c>
      <c r="E151">
        <v>1118</v>
      </c>
      <c r="F151">
        <v>16452039</v>
      </c>
      <c r="G151">
        <f>yt_sports_channels_stats[[#This Row],[view_count]]/yt_sports_channels_stats[[#This Row],[video_count]]</f>
        <v>14715.598389982111</v>
      </c>
      <c r="H151" s="4">
        <f>yt_sports_channels_stats[[#This Row],[subscriber_count]]/yt_sports_channels_stats[[#This Row],[view_count]]</f>
        <v>7.1723632553995281E-3</v>
      </c>
      <c r="I151">
        <v>118000</v>
      </c>
    </row>
    <row r="152" spans="1:9" x14ac:dyDescent="0.25">
      <c r="A152" t="s">
        <v>153</v>
      </c>
      <c r="B152" s="1">
        <v>41430</v>
      </c>
      <c r="C152">
        <f>YEAR(yt_sports_channels_stats[[#This Row],[Start Date]])</f>
        <v>2013</v>
      </c>
      <c r="D152" s="1" t="str">
        <f>IF(YEAR(yt_sports_channels_stats[[#This Row],[Start Date]])&lt;2011,"Old Gen",IF(AND(YEAR(yt_sports_channels_stats[[#This Row],[Start Date]]&gt;2011),YEAR(yt_sports_channels_stats[[#This Row],[Start Date]])&lt;2020),"Mid Gen","New Gen"))</f>
        <v>Mid Gen</v>
      </c>
      <c r="E152">
        <v>1306</v>
      </c>
      <c r="F152">
        <v>49141518</v>
      </c>
      <c r="G152">
        <f>yt_sports_channels_stats[[#This Row],[view_count]]/yt_sports_channels_stats[[#This Row],[video_count]]</f>
        <v>37627.502297090352</v>
      </c>
      <c r="H152" s="4">
        <f>yt_sports_channels_stats[[#This Row],[subscriber_count]]/yt_sports_channels_stats[[#This Row],[view_count]]</f>
        <v>5.2094442829381058E-3</v>
      </c>
      <c r="I152">
        <v>256000</v>
      </c>
    </row>
    <row r="153" spans="1:9" x14ac:dyDescent="0.25">
      <c r="A153" t="s">
        <v>154</v>
      </c>
      <c r="B153" s="1">
        <v>41411</v>
      </c>
      <c r="C153">
        <f>YEAR(yt_sports_channels_stats[[#This Row],[Start Date]])</f>
        <v>2013</v>
      </c>
      <c r="D153" s="1" t="str">
        <f>IF(YEAR(yt_sports_channels_stats[[#This Row],[Start Date]])&lt;2011,"Old Gen",IF(AND(YEAR(yt_sports_channels_stats[[#This Row],[Start Date]]&gt;2011),YEAR(yt_sports_channels_stats[[#This Row],[Start Date]])&lt;2020),"Mid Gen","New Gen"))</f>
        <v>Mid Gen</v>
      </c>
      <c r="E153">
        <v>7789</v>
      </c>
      <c r="F153">
        <v>1023206846</v>
      </c>
      <c r="G153">
        <f>yt_sports_channels_stats[[#This Row],[view_count]]/yt_sports_channels_stats[[#This Row],[video_count]]</f>
        <v>131365.62408524842</v>
      </c>
      <c r="H153" s="4">
        <f>yt_sports_channels_stats[[#This Row],[subscriber_count]]/yt_sports_channels_stats[[#This Row],[view_count]]</f>
        <v>1.6907627297091013E-3</v>
      </c>
      <c r="I153">
        <v>1730000</v>
      </c>
    </row>
    <row r="154" spans="1:9" x14ac:dyDescent="0.25">
      <c r="A154" t="s">
        <v>155</v>
      </c>
      <c r="B154" s="1">
        <v>42817</v>
      </c>
      <c r="C154">
        <f>YEAR(yt_sports_channels_stats[[#This Row],[Start Date]])</f>
        <v>2017</v>
      </c>
      <c r="D154" s="1" t="str">
        <f>IF(YEAR(yt_sports_channels_stats[[#This Row],[Start Date]])&lt;2011,"Old Gen",IF(AND(YEAR(yt_sports_channels_stats[[#This Row],[Start Date]]&gt;2011),YEAR(yt_sports_channels_stats[[#This Row],[Start Date]])&lt;2020),"Mid Gen","New Gen"))</f>
        <v>Mid Gen</v>
      </c>
      <c r="E154">
        <v>717</v>
      </c>
      <c r="F154">
        <v>52877768</v>
      </c>
      <c r="G154">
        <f>yt_sports_channels_stats[[#This Row],[view_count]]/yt_sports_channels_stats[[#This Row],[video_count]]</f>
        <v>73748.630404463038</v>
      </c>
      <c r="H154" s="4">
        <f>yt_sports_channels_stats[[#This Row],[subscriber_count]]/yt_sports_channels_stats[[#This Row],[view_count]]</f>
        <v>1.0855223692497761E-2</v>
      </c>
      <c r="I154">
        <v>574000</v>
      </c>
    </row>
    <row r="155" spans="1:9" x14ac:dyDescent="0.25">
      <c r="A155" t="s">
        <v>156</v>
      </c>
      <c r="B155" s="1">
        <v>43060</v>
      </c>
      <c r="C155">
        <f>YEAR(yt_sports_channels_stats[[#This Row],[Start Date]])</f>
        <v>2017</v>
      </c>
      <c r="D155" s="1" t="str">
        <f>IF(YEAR(yt_sports_channels_stats[[#This Row],[Start Date]])&lt;2011,"Old Gen",IF(AND(YEAR(yt_sports_channels_stats[[#This Row],[Start Date]]&gt;2011),YEAR(yt_sports_channels_stats[[#This Row],[Start Date]])&lt;2020),"Mid Gen","New Gen"))</f>
        <v>Mid Gen</v>
      </c>
      <c r="E155">
        <v>1402</v>
      </c>
      <c r="F155">
        <v>1755744</v>
      </c>
      <c r="G155">
        <f>yt_sports_channels_stats[[#This Row],[view_count]]/yt_sports_channels_stats[[#This Row],[video_count]]</f>
        <v>1252.3138373751783</v>
      </c>
      <c r="H155" s="4">
        <f>yt_sports_channels_stats[[#This Row],[subscriber_count]]/yt_sports_channels_stats[[#This Row],[view_count]]</f>
        <v>4.0894344505804942E-3</v>
      </c>
      <c r="I155">
        <v>7180</v>
      </c>
    </row>
    <row r="156" spans="1:9" x14ac:dyDescent="0.25">
      <c r="A156" t="s">
        <v>157</v>
      </c>
      <c r="B156" s="1">
        <v>40999</v>
      </c>
      <c r="C156">
        <f>YEAR(yt_sports_channels_stats[[#This Row],[Start Date]])</f>
        <v>2012</v>
      </c>
      <c r="D156" s="1" t="str">
        <f>IF(YEAR(yt_sports_channels_stats[[#This Row],[Start Date]])&lt;2011,"Old Gen",IF(AND(YEAR(yt_sports_channels_stats[[#This Row],[Start Date]]&gt;2011),YEAR(yt_sports_channels_stats[[#This Row],[Start Date]])&lt;2020),"Mid Gen","New Gen"))</f>
        <v>Mid Gen</v>
      </c>
      <c r="E156">
        <v>4326</v>
      </c>
      <c r="F156">
        <v>494451513</v>
      </c>
      <c r="G156">
        <f>yt_sports_channels_stats[[#This Row],[view_count]]/yt_sports_channels_stats[[#This Row],[video_count]]</f>
        <v>114297.62205270458</v>
      </c>
      <c r="H156" s="4">
        <f>yt_sports_channels_stats[[#This Row],[subscriber_count]]/yt_sports_channels_stats[[#This Row],[view_count]]</f>
        <v>9.4650332276362149E-3</v>
      </c>
      <c r="I156">
        <v>4680000</v>
      </c>
    </row>
    <row r="157" spans="1:9" x14ac:dyDescent="0.25">
      <c r="A157" t="s">
        <v>158</v>
      </c>
      <c r="B157" s="1">
        <v>41978</v>
      </c>
      <c r="C157">
        <f>YEAR(yt_sports_channels_stats[[#This Row],[Start Date]])</f>
        <v>2014</v>
      </c>
      <c r="D157" s="1" t="str">
        <f>IF(YEAR(yt_sports_channels_stats[[#This Row],[Start Date]])&lt;2011,"Old Gen",IF(AND(YEAR(yt_sports_channels_stats[[#This Row],[Start Date]]&gt;2011),YEAR(yt_sports_channels_stats[[#This Row],[Start Date]])&lt;2020),"Mid Gen","New Gen"))</f>
        <v>Mid Gen</v>
      </c>
      <c r="E157">
        <v>1406</v>
      </c>
      <c r="F157">
        <v>57237144</v>
      </c>
      <c r="G157">
        <f>yt_sports_channels_stats[[#This Row],[view_count]]/yt_sports_channels_stats[[#This Row],[video_count]]</f>
        <v>40709.206258890466</v>
      </c>
      <c r="H157" s="4">
        <f>yt_sports_channels_stats[[#This Row],[subscriber_count]]/yt_sports_channels_stats[[#This Row],[view_count]]</f>
        <v>3.0050416212241476E-3</v>
      </c>
      <c r="I157">
        <v>172000</v>
      </c>
    </row>
    <row r="158" spans="1:9" x14ac:dyDescent="0.25">
      <c r="A158" t="s">
        <v>159</v>
      </c>
      <c r="B158" s="1">
        <v>44734</v>
      </c>
      <c r="C158">
        <f>YEAR(yt_sports_channels_stats[[#This Row],[Start Date]])</f>
        <v>2022</v>
      </c>
      <c r="D158" s="1" t="str">
        <f>IF(YEAR(yt_sports_channels_stats[[#This Row],[Start Date]])&lt;2011,"Old Gen",IF(AND(YEAR(yt_sports_channels_stats[[#This Row],[Start Date]]&gt;2011),YEAR(yt_sports_channels_stats[[#This Row],[Start Date]])&lt;2020),"Mid Gen","New Gen"))</f>
        <v>New Gen</v>
      </c>
      <c r="E158">
        <v>108</v>
      </c>
      <c r="F158">
        <v>11172776</v>
      </c>
      <c r="G158">
        <f>yt_sports_channels_stats[[#This Row],[view_count]]/yt_sports_channels_stats[[#This Row],[video_count]]</f>
        <v>103451.62962962964</v>
      </c>
      <c r="H158" s="4">
        <f>yt_sports_channels_stats[[#This Row],[subscriber_count]]/yt_sports_channels_stats[[#This Row],[view_count]]</f>
        <v>1.8974693487097568E-3</v>
      </c>
      <c r="I158">
        <v>21200</v>
      </c>
    </row>
    <row r="159" spans="1:9" x14ac:dyDescent="0.25">
      <c r="A159" t="s">
        <v>475</v>
      </c>
      <c r="B159" s="1">
        <v>44434</v>
      </c>
      <c r="C159">
        <f>YEAR(yt_sports_channels_stats[[#This Row],[Start Date]])</f>
        <v>2021</v>
      </c>
      <c r="D159" s="1" t="str">
        <f>IF(YEAR(yt_sports_channels_stats[[#This Row],[Start Date]])&lt;2011,"Old Gen",IF(AND(YEAR(yt_sports_channels_stats[[#This Row],[Start Date]]&gt;2011),YEAR(yt_sports_channels_stats[[#This Row],[Start Date]])&lt;2020),"Mid Gen","New Gen"))</f>
        <v>New Gen</v>
      </c>
      <c r="E159">
        <v>1005</v>
      </c>
      <c r="F159">
        <v>1937572</v>
      </c>
      <c r="G159">
        <f>yt_sports_channels_stats[[#This Row],[view_count]]/yt_sports_channels_stats[[#This Row],[video_count]]</f>
        <v>1927.9323383084577</v>
      </c>
      <c r="H159" s="4">
        <f>yt_sports_channels_stats[[#This Row],[subscriber_count]]/yt_sports_channels_stats[[#This Row],[view_count]]</f>
        <v>4.779177238316821E-3</v>
      </c>
      <c r="I159">
        <v>9260</v>
      </c>
    </row>
    <row r="160" spans="1:9" x14ac:dyDescent="0.25">
      <c r="A160" t="s">
        <v>160</v>
      </c>
      <c r="B160" s="1">
        <v>44649</v>
      </c>
      <c r="C160">
        <f>YEAR(yt_sports_channels_stats[[#This Row],[Start Date]])</f>
        <v>2022</v>
      </c>
      <c r="D160" s="1" t="str">
        <f>IF(YEAR(yt_sports_channels_stats[[#This Row],[Start Date]])&lt;2011,"Old Gen",IF(AND(YEAR(yt_sports_channels_stats[[#This Row],[Start Date]]&gt;2011),YEAR(yt_sports_channels_stats[[#This Row],[Start Date]])&lt;2020),"Mid Gen","New Gen"))</f>
        <v>New Gen</v>
      </c>
      <c r="E160">
        <v>4462</v>
      </c>
      <c r="F160">
        <v>18638213</v>
      </c>
      <c r="G160">
        <f>yt_sports_channels_stats[[#This Row],[view_count]]/yt_sports_channels_stats[[#This Row],[video_count]]</f>
        <v>4177.0983863738238</v>
      </c>
      <c r="H160" s="4">
        <f>yt_sports_channels_stats[[#This Row],[subscriber_count]]/yt_sports_channels_stats[[#This Row],[view_count]]</f>
        <v>2.0441873907117596E-3</v>
      </c>
      <c r="I160">
        <v>38100</v>
      </c>
    </row>
    <row r="161" spans="1:9" x14ac:dyDescent="0.25">
      <c r="A161" t="s">
        <v>161</v>
      </c>
      <c r="B161" s="1">
        <v>42262</v>
      </c>
      <c r="C161">
        <f>YEAR(yt_sports_channels_stats[[#This Row],[Start Date]])</f>
        <v>2015</v>
      </c>
      <c r="D161" s="1" t="str">
        <f>IF(YEAR(yt_sports_channels_stats[[#This Row],[Start Date]])&lt;2011,"Old Gen",IF(AND(YEAR(yt_sports_channels_stats[[#This Row],[Start Date]]&gt;2011),YEAR(yt_sports_channels_stats[[#This Row],[Start Date]])&lt;2020),"Mid Gen","New Gen"))</f>
        <v>Mid Gen</v>
      </c>
      <c r="E161">
        <v>2327</v>
      </c>
      <c r="F161">
        <v>69966596</v>
      </c>
      <c r="G161">
        <f>yt_sports_channels_stats[[#This Row],[view_count]]/yt_sports_channels_stats[[#This Row],[video_count]]</f>
        <v>30067.295229909756</v>
      </c>
      <c r="H161" s="4">
        <f>yt_sports_channels_stats[[#This Row],[subscriber_count]]/yt_sports_channels_stats[[#This Row],[view_count]]</f>
        <v>6.5031032808856382E-3</v>
      </c>
      <c r="I161">
        <v>455000</v>
      </c>
    </row>
    <row r="162" spans="1:9" x14ac:dyDescent="0.25">
      <c r="A162" t="s">
        <v>162</v>
      </c>
      <c r="B162" s="1">
        <v>43654</v>
      </c>
      <c r="C162">
        <f>YEAR(yt_sports_channels_stats[[#This Row],[Start Date]])</f>
        <v>2019</v>
      </c>
      <c r="D162" s="1" t="str">
        <f>IF(YEAR(yt_sports_channels_stats[[#This Row],[Start Date]])&lt;2011,"Old Gen",IF(AND(YEAR(yt_sports_channels_stats[[#This Row],[Start Date]]&gt;2011),YEAR(yt_sports_channels_stats[[#This Row],[Start Date]])&lt;2020),"Mid Gen","New Gen"))</f>
        <v>Mid Gen</v>
      </c>
      <c r="E162">
        <v>2256</v>
      </c>
      <c r="F162">
        <v>36300055</v>
      </c>
      <c r="G162">
        <f>yt_sports_channels_stats[[#This Row],[view_count]]/yt_sports_channels_stats[[#This Row],[video_count]]</f>
        <v>16090.449911347518</v>
      </c>
      <c r="H162" s="4">
        <f>yt_sports_channels_stats[[#This Row],[subscriber_count]]/yt_sports_channels_stats[[#This Row],[view_count]]</f>
        <v>3.6088099591033676E-3</v>
      </c>
      <c r="I162">
        <v>131000</v>
      </c>
    </row>
    <row r="163" spans="1:9" x14ac:dyDescent="0.25">
      <c r="A163" t="s">
        <v>55</v>
      </c>
      <c r="B163" s="1">
        <v>44093</v>
      </c>
      <c r="C163">
        <f>YEAR(yt_sports_channels_stats[[#This Row],[Start Date]])</f>
        <v>2020</v>
      </c>
      <c r="D163" s="1" t="str">
        <f>IF(YEAR(yt_sports_channels_stats[[#This Row],[Start Date]])&lt;2011,"Old Gen",IF(AND(YEAR(yt_sports_channels_stats[[#This Row],[Start Date]]&gt;2011),YEAR(yt_sports_channels_stats[[#This Row],[Start Date]])&lt;2020),"Mid Gen","New Gen"))</f>
        <v>New Gen</v>
      </c>
      <c r="E163">
        <v>13336</v>
      </c>
      <c r="F163">
        <v>129998649</v>
      </c>
      <c r="G163">
        <f>yt_sports_channels_stats[[#This Row],[view_count]]/yt_sports_channels_stats[[#This Row],[video_count]]</f>
        <v>9747.9490851829632</v>
      </c>
      <c r="H163" s="4">
        <f>yt_sports_channels_stats[[#This Row],[subscriber_count]]/yt_sports_channels_stats[[#This Row],[view_count]]</f>
        <v>2.0230979477332874E-3</v>
      </c>
      <c r="I163">
        <v>263000</v>
      </c>
    </row>
    <row r="164" spans="1:9" x14ac:dyDescent="0.25">
      <c r="A164" t="s">
        <v>163</v>
      </c>
      <c r="B164" s="1">
        <v>42111</v>
      </c>
      <c r="C164">
        <f>YEAR(yt_sports_channels_stats[[#This Row],[Start Date]])</f>
        <v>2015</v>
      </c>
      <c r="D164" s="1" t="str">
        <f>IF(YEAR(yt_sports_channels_stats[[#This Row],[Start Date]])&lt;2011,"Old Gen",IF(AND(YEAR(yt_sports_channels_stats[[#This Row],[Start Date]]&gt;2011),YEAR(yt_sports_channels_stats[[#This Row],[Start Date]])&lt;2020),"Mid Gen","New Gen"))</f>
        <v>Mid Gen</v>
      </c>
      <c r="E164">
        <v>1932</v>
      </c>
      <c r="F164">
        <v>664472</v>
      </c>
      <c r="G164">
        <f>yt_sports_channels_stats[[#This Row],[view_count]]/yt_sports_channels_stats[[#This Row],[video_count]]</f>
        <v>343.92960662525883</v>
      </c>
      <c r="H164" s="4">
        <f>yt_sports_channels_stats[[#This Row],[subscriber_count]]/yt_sports_channels_stats[[#This Row],[view_count]]</f>
        <v>4.9512996785417594E-3</v>
      </c>
      <c r="I164">
        <v>3290</v>
      </c>
    </row>
    <row r="165" spans="1:9" x14ac:dyDescent="0.25">
      <c r="A165" t="s">
        <v>164</v>
      </c>
      <c r="B165" s="1">
        <v>44438</v>
      </c>
      <c r="C165">
        <f>YEAR(yt_sports_channels_stats[[#This Row],[Start Date]])</f>
        <v>2021</v>
      </c>
      <c r="D165" s="1" t="str">
        <f>IF(YEAR(yt_sports_channels_stats[[#This Row],[Start Date]])&lt;2011,"Old Gen",IF(AND(YEAR(yt_sports_channels_stats[[#This Row],[Start Date]]&gt;2011),YEAR(yt_sports_channels_stats[[#This Row],[Start Date]])&lt;2020),"Mid Gen","New Gen"))</f>
        <v>New Gen</v>
      </c>
      <c r="E165">
        <v>961</v>
      </c>
      <c r="F165">
        <v>79167648</v>
      </c>
      <c r="G165">
        <f>yt_sports_channels_stats[[#This Row],[view_count]]/yt_sports_channels_stats[[#This Row],[video_count]]</f>
        <v>82380.486992715916</v>
      </c>
      <c r="H165" s="4">
        <f>yt_sports_channels_stats[[#This Row],[subscriber_count]]/yt_sports_channels_stats[[#This Row],[view_count]]</f>
        <v>1.1608277158871765E-2</v>
      </c>
      <c r="I165">
        <v>919000</v>
      </c>
    </row>
    <row r="166" spans="1:9" x14ac:dyDescent="0.25">
      <c r="A166" t="s">
        <v>165</v>
      </c>
      <c r="B166" s="1">
        <v>42647</v>
      </c>
      <c r="C166">
        <f>YEAR(yt_sports_channels_stats[[#This Row],[Start Date]])</f>
        <v>2016</v>
      </c>
      <c r="D166" s="1" t="str">
        <f>IF(YEAR(yt_sports_channels_stats[[#This Row],[Start Date]])&lt;2011,"Old Gen",IF(AND(YEAR(yt_sports_channels_stats[[#This Row],[Start Date]]&gt;2011),YEAR(yt_sports_channels_stats[[#This Row],[Start Date]])&lt;2020),"Mid Gen","New Gen"))</f>
        <v>Mid Gen</v>
      </c>
      <c r="E166">
        <v>1224</v>
      </c>
      <c r="F166">
        <v>618128</v>
      </c>
      <c r="G166">
        <f>yt_sports_channels_stats[[#This Row],[view_count]]/yt_sports_channels_stats[[#This Row],[video_count]]</f>
        <v>505.00653594771239</v>
      </c>
      <c r="H166" s="4">
        <f>yt_sports_channels_stats[[#This Row],[subscriber_count]]/yt_sports_channels_stats[[#This Row],[view_count]]</f>
        <v>6.0181709937100402E-3</v>
      </c>
      <c r="I166">
        <v>3720</v>
      </c>
    </row>
    <row r="167" spans="1:9" x14ac:dyDescent="0.25">
      <c r="A167" t="s">
        <v>166</v>
      </c>
      <c r="B167" s="1">
        <v>44148</v>
      </c>
      <c r="C167">
        <f>YEAR(yt_sports_channels_stats[[#This Row],[Start Date]])</f>
        <v>2020</v>
      </c>
      <c r="D167" s="1" t="str">
        <f>IF(YEAR(yt_sports_channels_stats[[#This Row],[Start Date]])&lt;2011,"Old Gen",IF(AND(YEAR(yt_sports_channels_stats[[#This Row],[Start Date]]&gt;2011),YEAR(yt_sports_channels_stats[[#This Row],[Start Date]])&lt;2020),"Mid Gen","New Gen"))</f>
        <v>New Gen</v>
      </c>
      <c r="E167">
        <v>3073</v>
      </c>
      <c r="F167">
        <v>275004</v>
      </c>
      <c r="G167">
        <f>yt_sports_channels_stats[[#This Row],[view_count]]/yt_sports_channels_stats[[#This Row],[video_count]]</f>
        <v>89.490400260331924</v>
      </c>
      <c r="H167" s="4">
        <f>yt_sports_channels_stats[[#This Row],[subscriber_count]]/yt_sports_channels_stats[[#This Row],[view_count]]</f>
        <v>5.9271865136507106E-3</v>
      </c>
      <c r="I167">
        <v>1630</v>
      </c>
    </row>
    <row r="168" spans="1:9" x14ac:dyDescent="0.25">
      <c r="A168" t="s">
        <v>167</v>
      </c>
      <c r="B168" s="1">
        <v>44753</v>
      </c>
      <c r="C168">
        <f>YEAR(yt_sports_channels_stats[[#This Row],[Start Date]])</f>
        <v>2022</v>
      </c>
      <c r="D168" s="1" t="str">
        <f>IF(YEAR(yt_sports_channels_stats[[#This Row],[Start Date]])&lt;2011,"Old Gen",IF(AND(YEAR(yt_sports_channels_stats[[#This Row],[Start Date]]&gt;2011),YEAR(yt_sports_channels_stats[[#This Row],[Start Date]])&lt;2020),"Mid Gen","New Gen"))</f>
        <v>New Gen</v>
      </c>
      <c r="E168">
        <v>1782</v>
      </c>
      <c r="F168">
        <v>527360</v>
      </c>
      <c r="G168">
        <f>yt_sports_channels_stats[[#This Row],[view_count]]/yt_sports_channels_stats[[#This Row],[video_count]]</f>
        <v>295.93714927048262</v>
      </c>
      <c r="H168" s="4">
        <f>yt_sports_channels_stats[[#This Row],[subscriber_count]]/yt_sports_channels_stats[[#This Row],[view_count]]</f>
        <v>5.0819174757281557E-3</v>
      </c>
      <c r="I168">
        <v>2680</v>
      </c>
    </row>
    <row r="169" spans="1:9" x14ac:dyDescent="0.25">
      <c r="A169" t="s">
        <v>168</v>
      </c>
      <c r="B169" s="1">
        <v>39671</v>
      </c>
      <c r="C169">
        <f>YEAR(yt_sports_channels_stats[[#This Row],[Start Date]])</f>
        <v>2008</v>
      </c>
      <c r="D169" s="1" t="str">
        <f>IF(YEAR(yt_sports_channels_stats[[#This Row],[Start Date]])&lt;2011,"Old Gen",IF(AND(YEAR(yt_sports_channels_stats[[#This Row],[Start Date]]&gt;2011),YEAR(yt_sports_channels_stats[[#This Row],[Start Date]])&lt;2020),"Mid Gen","New Gen"))</f>
        <v>Old Gen</v>
      </c>
      <c r="E169">
        <v>1011</v>
      </c>
      <c r="F169">
        <v>43031223</v>
      </c>
      <c r="G169">
        <f>yt_sports_channels_stats[[#This Row],[view_count]]/yt_sports_channels_stats[[#This Row],[video_count]]</f>
        <v>42563.029673590507</v>
      </c>
      <c r="H169" s="4">
        <f>yt_sports_channels_stats[[#This Row],[subscriber_count]]/yt_sports_channels_stats[[#This Row],[view_count]]</f>
        <v>3.9738587025518659E-3</v>
      </c>
      <c r="I169">
        <v>171000</v>
      </c>
    </row>
    <row r="170" spans="1:9" x14ac:dyDescent="0.25">
      <c r="A170" t="s">
        <v>169</v>
      </c>
      <c r="B170" s="1">
        <v>44977</v>
      </c>
      <c r="C170">
        <f>YEAR(yt_sports_channels_stats[[#This Row],[Start Date]])</f>
        <v>2023</v>
      </c>
      <c r="D170" s="1" t="str">
        <f>IF(YEAR(yt_sports_channels_stats[[#This Row],[Start Date]])&lt;2011,"Old Gen",IF(AND(YEAR(yt_sports_channels_stats[[#This Row],[Start Date]]&gt;2011),YEAR(yt_sports_channels_stats[[#This Row],[Start Date]])&lt;2020),"Mid Gen","New Gen"))</f>
        <v>New Gen</v>
      </c>
      <c r="E170">
        <v>57</v>
      </c>
      <c r="F170">
        <v>905803</v>
      </c>
      <c r="G170">
        <f>yt_sports_channels_stats[[#This Row],[view_count]]/yt_sports_channels_stats[[#This Row],[video_count]]</f>
        <v>15891.280701754386</v>
      </c>
      <c r="H170" s="4">
        <f>yt_sports_channels_stats[[#This Row],[subscriber_count]]/yt_sports_channels_stats[[#This Row],[view_count]]</f>
        <v>1.1039928107988161E-2</v>
      </c>
      <c r="I170">
        <v>10000</v>
      </c>
    </row>
    <row r="171" spans="1:9" x14ac:dyDescent="0.25">
      <c r="A171" t="s">
        <v>170</v>
      </c>
      <c r="B171" s="1">
        <v>40172</v>
      </c>
      <c r="C171">
        <f>YEAR(yt_sports_channels_stats[[#This Row],[Start Date]])</f>
        <v>2009</v>
      </c>
      <c r="D171" s="1" t="str">
        <f>IF(YEAR(yt_sports_channels_stats[[#This Row],[Start Date]])&lt;2011,"Old Gen",IF(AND(YEAR(yt_sports_channels_stats[[#This Row],[Start Date]]&gt;2011),YEAR(yt_sports_channels_stats[[#This Row],[Start Date]])&lt;2020),"Mid Gen","New Gen"))</f>
        <v>Old Gen</v>
      </c>
      <c r="E171">
        <v>1472</v>
      </c>
      <c r="F171">
        <v>79915219</v>
      </c>
      <c r="G171">
        <f>yt_sports_channels_stats[[#This Row],[view_count]]/yt_sports_channels_stats[[#This Row],[video_count]]</f>
        <v>54290.23029891304</v>
      </c>
      <c r="H171" s="4">
        <f>yt_sports_channels_stats[[#This Row],[subscriber_count]]/yt_sports_channels_stats[[#This Row],[view_count]]</f>
        <v>3.8540844141339336E-3</v>
      </c>
      <c r="I171">
        <v>308000</v>
      </c>
    </row>
    <row r="172" spans="1:9" x14ac:dyDescent="0.25">
      <c r="A172" t="s">
        <v>171</v>
      </c>
      <c r="B172" s="1">
        <v>42752</v>
      </c>
      <c r="C172">
        <f>YEAR(yt_sports_channels_stats[[#This Row],[Start Date]])</f>
        <v>2017</v>
      </c>
      <c r="D172" s="1" t="str">
        <f>IF(YEAR(yt_sports_channels_stats[[#This Row],[Start Date]])&lt;2011,"Old Gen",IF(AND(YEAR(yt_sports_channels_stats[[#This Row],[Start Date]]&gt;2011),YEAR(yt_sports_channels_stats[[#This Row],[Start Date]])&lt;2020),"Mid Gen","New Gen"))</f>
        <v>Mid Gen</v>
      </c>
      <c r="E172">
        <v>1885</v>
      </c>
      <c r="F172">
        <v>16154505</v>
      </c>
      <c r="G172">
        <f>yt_sports_channels_stats[[#This Row],[view_count]]/yt_sports_channels_stats[[#This Row],[video_count]]</f>
        <v>8570.0291777188322</v>
      </c>
      <c r="H172" s="4">
        <f>yt_sports_channels_stats[[#This Row],[subscriber_count]]/yt_sports_channels_stats[[#This Row],[view_count]]</f>
        <v>4.2898250364217291E-3</v>
      </c>
      <c r="I172">
        <v>69300</v>
      </c>
    </row>
    <row r="173" spans="1:9" x14ac:dyDescent="0.25">
      <c r="A173" t="s">
        <v>172</v>
      </c>
      <c r="B173" s="1">
        <v>44849</v>
      </c>
      <c r="C173">
        <f>YEAR(yt_sports_channels_stats[[#This Row],[Start Date]])</f>
        <v>2022</v>
      </c>
      <c r="D173" s="1" t="str">
        <f>IF(YEAR(yt_sports_channels_stats[[#This Row],[Start Date]])&lt;2011,"Old Gen",IF(AND(YEAR(yt_sports_channels_stats[[#This Row],[Start Date]]&gt;2011),YEAR(yt_sports_channels_stats[[#This Row],[Start Date]])&lt;2020),"Mid Gen","New Gen"))</f>
        <v>New Gen</v>
      </c>
      <c r="E173">
        <v>870</v>
      </c>
      <c r="F173">
        <v>120400388</v>
      </c>
      <c r="G173">
        <f>yt_sports_channels_stats[[#This Row],[view_count]]/yt_sports_channels_stats[[#This Row],[video_count]]</f>
        <v>138391.25057471264</v>
      </c>
      <c r="H173" s="4">
        <f>yt_sports_channels_stats[[#This Row],[subscriber_count]]/yt_sports_channels_stats[[#This Row],[view_count]]</f>
        <v>3.5132777146864346E-3</v>
      </c>
      <c r="I173">
        <v>423000</v>
      </c>
    </row>
    <row r="174" spans="1:9" x14ac:dyDescent="0.25">
      <c r="A174" t="s">
        <v>173</v>
      </c>
      <c r="B174" s="1">
        <v>43858</v>
      </c>
      <c r="C174">
        <f>YEAR(yt_sports_channels_stats[[#This Row],[Start Date]])</f>
        <v>2020</v>
      </c>
      <c r="D174" s="1" t="str">
        <f>IF(YEAR(yt_sports_channels_stats[[#This Row],[Start Date]])&lt;2011,"Old Gen",IF(AND(YEAR(yt_sports_channels_stats[[#This Row],[Start Date]]&gt;2011),YEAR(yt_sports_channels_stats[[#This Row],[Start Date]])&lt;2020),"Mid Gen","New Gen"))</f>
        <v>New Gen</v>
      </c>
      <c r="E174">
        <v>295</v>
      </c>
      <c r="F174">
        <v>805023</v>
      </c>
      <c r="G174">
        <f>yt_sports_channels_stats[[#This Row],[view_count]]/yt_sports_channels_stats[[#This Row],[video_count]]</f>
        <v>2728.891525423729</v>
      </c>
      <c r="H174" s="4">
        <f>yt_sports_channels_stats[[#This Row],[subscriber_count]]/yt_sports_channels_stats[[#This Row],[view_count]]</f>
        <v>8.1239914884419454E-3</v>
      </c>
      <c r="I174">
        <v>6540</v>
      </c>
    </row>
    <row r="175" spans="1:9" x14ac:dyDescent="0.25">
      <c r="A175" t="s">
        <v>174</v>
      </c>
      <c r="B175" s="1">
        <v>44372</v>
      </c>
      <c r="C175">
        <f>YEAR(yt_sports_channels_stats[[#This Row],[Start Date]])</f>
        <v>2021</v>
      </c>
      <c r="D175" s="1" t="str">
        <f>IF(YEAR(yt_sports_channels_stats[[#This Row],[Start Date]])&lt;2011,"Old Gen",IF(AND(YEAR(yt_sports_channels_stats[[#This Row],[Start Date]]&gt;2011),YEAR(yt_sports_channels_stats[[#This Row],[Start Date]])&lt;2020),"Mid Gen","New Gen"))</f>
        <v>New Gen</v>
      </c>
      <c r="E175">
        <v>4034</v>
      </c>
      <c r="F175">
        <v>51680391</v>
      </c>
      <c r="G175">
        <f>yt_sports_channels_stats[[#This Row],[view_count]]/yt_sports_channels_stats[[#This Row],[video_count]]</f>
        <v>12811.202528507685</v>
      </c>
      <c r="H175" s="4">
        <f>yt_sports_channels_stats[[#This Row],[subscriber_count]]/yt_sports_channels_stats[[#This Row],[view_count]]</f>
        <v>1.7492127720163727E-3</v>
      </c>
      <c r="I175">
        <v>90400</v>
      </c>
    </row>
    <row r="176" spans="1:9" x14ac:dyDescent="0.25">
      <c r="A176" t="s">
        <v>175</v>
      </c>
      <c r="B176" s="1">
        <v>42749</v>
      </c>
      <c r="C176">
        <f>YEAR(yt_sports_channels_stats[[#This Row],[Start Date]])</f>
        <v>2017</v>
      </c>
      <c r="D176" s="1" t="str">
        <f>IF(YEAR(yt_sports_channels_stats[[#This Row],[Start Date]])&lt;2011,"Old Gen",IF(AND(YEAR(yt_sports_channels_stats[[#This Row],[Start Date]]&gt;2011),YEAR(yt_sports_channels_stats[[#This Row],[Start Date]])&lt;2020),"Mid Gen","New Gen"))</f>
        <v>Mid Gen</v>
      </c>
      <c r="E176">
        <v>432</v>
      </c>
      <c r="F176">
        <v>495599141</v>
      </c>
      <c r="G176">
        <f>yt_sports_channels_stats[[#This Row],[view_count]]/yt_sports_channels_stats[[#This Row],[video_count]]</f>
        <v>1147220.2337962964</v>
      </c>
      <c r="H176" s="4">
        <f>yt_sports_channels_stats[[#This Row],[subscriber_count]]/yt_sports_channels_stats[[#This Row],[view_count]]</f>
        <v>4.1565850898034546E-3</v>
      </c>
      <c r="I176">
        <v>2060000</v>
      </c>
    </row>
    <row r="177" spans="1:9" x14ac:dyDescent="0.25">
      <c r="A177" t="s">
        <v>176</v>
      </c>
      <c r="B177" s="1">
        <v>44244</v>
      </c>
      <c r="C177">
        <f>YEAR(yt_sports_channels_stats[[#This Row],[Start Date]])</f>
        <v>2021</v>
      </c>
      <c r="D177" s="1" t="str">
        <f>IF(YEAR(yt_sports_channels_stats[[#This Row],[Start Date]])&lt;2011,"Old Gen",IF(AND(YEAR(yt_sports_channels_stats[[#This Row],[Start Date]]&gt;2011),YEAR(yt_sports_channels_stats[[#This Row],[Start Date]])&lt;2020),"Mid Gen","New Gen"))</f>
        <v>New Gen</v>
      </c>
      <c r="E177">
        <v>1103</v>
      </c>
      <c r="F177">
        <v>3019519</v>
      </c>
      <c r="G177">
        <f>yt_sports_channels_stats[[#This Row],[view_count]]/yt_sports_channels_stats[[#This Row],[video_count]]</f>
        <v>2737.5512239347236</v>
      </c>
      <c r="H177" s="4">
        <f>yt_sports_channels_stats[[#This Row],[subscriber_count]]/yt_sports_channels_stats[[#This Row],[view_count]]</f>
        <v>3.67608218395049E-3</v>
      </c>
      <c r="I177">
        <v>11100</v>
      </c>
    </row>
    <row r="178" spans="1:9" x14ac:dyDescent="0.25">
      <c r="A178" t="s">
        <v>177</v>
      </c>
      <c r="B178" s="1">
        <v>43056</v>
      </c>
      <c r="C178">
        <f>YEAR(yt_sports_channels_stats[[#This Row],[Start Date]])</f>
        <v>2017</v>
      </c>
      <c r="D178" s="1" t="str">
        <f>IF(YEAR(yt_sports_channels_stats[[#This Row],[Start Date]])&lt;2011,"Old Gen",IF(AND(YEAR(yt_sports_channels_stats[[#This Row],[Start Date]]&gt;2011),YEAR(yt_sports_channels_stats[[#This Row],[Start Date]])&lt;2020),"Mid Gen","New Gen"))</f>
        <v>Mid Gen</v>
      </c>
      <c r="E178">
        <v>5869</v>
      </c>
      <c r="F178">
        <v>143743199</v>
      </c>
      <c r="G178">
        <f>yt_sports_channels_stats[[#This Row],[view_count]]/yt_sports_channels_stats[[#This Row],[video_count]]</f>
        <v>24491.940535014484</v>
      </c>
      <c r="H178" s="4">
        <f>yt_sports_channels_stats[[#This Row],[subscriber_count]]/yt_sports_channels_stats[[#This Row],[view_count]]</f>
        <v>1.1409235437984096E-3</v>
      </c>
      <c r="I178">
        <v>164000</v>
      </c>
    </row>
    <row r="179" spans="1:9" x14ac:dyDescent="0.25">
      <c r="A179" t="s">
        <v>178</v>
      </c>
      <c r="B179" s="1">
        <v>44423</v>
      </c>
      <c r="C179">
        <f>YEAR(yt_sports_channels_stats[[#This Row],[Start Date]])</f>
        <v>2021</v>
      </c>
      <c r="D179" s="1" t="str">
        <f>IF(YEAR(yt_sports_channels_stats[[#This Row],[Start Date]])&lt;2011,"Old Gen",IF(AND(YEAR(yt_sports_channels_stats[[#This Row],[Start Date]]&gt;2011),YEAR(yt_sports_channels_stats[[#This Row],[Start Date]])&lt;2020),"Mid Gen","New Gen"))</f>
        <v>New Gen</v>
      </c>
      <c r="E179">
        <v>2121</v>
      </c>
      <c r="F179">
        <v>3711387</v>
      </c>
      <c r="G179">
        <f>yt_sports_channels_stats[[#This Row],[view_count]]/yt_sports_channels_stats[[#This Row],[video_count]]</f>
        <v>1749.8288543140029</v>
      </c>
      <c r="H179" s="4">
        <f>yt_sports_channels_stats[[#This Row],[subscriber_count]]/yt_sports_channels_stats[[#This Row],[view_count]]</f>
        <v>3.9877274991802257E-3</v>
      </c>
      <c r="I179">
        <v>14800</v>
      </c>
    </row>
    <row r="180" spans="1:9" x14ac:dyDescent="0.25">
      <c r="A180" t="s">
        <v>179</v>
      </c>
      <c r="B180" s="1">
        <v>42413</v>
      </c>
      <c r="C180">
        <f>YEAR(yt_sports_channels_stats[[#This Row],[Start Date]])</f>
        <v>2016</v>
      </c>
      <c r="D180" s="1" t="str">
        <f>IF(YEAR(yt_sports_channels_stats[[#This Row],[Start Date]])&lt;2011,"Old Gen",IF(AND(YEAR(yt_sports_channels_stats[[#This Row],[Start Date]]&gt;2011),YEAR(yt_sports_channels_stats[[#This Row],[Start Date]])&lt;2020),"Mid Gen","New Gen"))</f>
        <v>Mid Gen</v>
      </c>
      <c r="E180">
        <v>2241</v>
      </c>
      <c r="F180">
        <v>163133692</v>
      </c>
      <c r="G180">
        <f>yt_sports_channels_stats[[#This Row],[view_count]]/yt_sports_channels_stats[[#This Row],[video_count]]</f>
        <v>72795.04328424811</v>
      </c>
      <c r="H180" s="4">
        <f>yt_sports_channels_stats[[#This Row],[subscriber_count]]/yt_sports_channels_stats[[#This Row],[view_count]]</f>
        <v>2.9791516028460879E-3</v>
      </c>
      <c r="I180">
        <v>486000</v>
      </c>
    </row>
    <row r="181" spans="1:9" x14ac:dyDescent="0.25">
      <c r="A181" t="s">
        <v>476</v>
      </c>
      <c r="B181" s="1">
        <v>42172</v>
      </c>
      <c r="C181">
        <f>YEAR(yt_sports_channels_stats[[#This Row],[Start Date]])</f>
        <v>2015</v>
      </c>
      <c r="D181" s="1" t="str">
        <f>IF(YEAR(yt_sports_channels_stats[[#This Row],[Start Date]])&lt;2011,"Old Gen",IF(AND(YEAR(yt_sports_channels_stats[[#This Row],[Start Date]]&gt;2011),YEAR(yt_sports_channels_stats[[#This Row],[Start Date]])&lt;2020),"Mid Gen","New Gen"))</f>
        <v>Mid Gen</v>
      </c>
      <c r="E181">
        <v>5330</v>
      </c>
      <c r="F181">
        <v>17503451</v>
      </c>
      <c r="G181">
        <f>yt_sports_channels_stats[[#This Row],[view_count]]/yt_sports_channels_stats[[#This Row],[video_count]]</f>
        <v>3283.9495309568479</v>
      </c>
      <c r="H181" s="4">
        <f>yt_sports_channels_stats[[#This Row],[subscriber_count]]/yt_sports_channels_stats[[#This Row],[view_count]]</f>
        <v>2.8737190168955824E-3</v>
      </c>
      <c r="I181">
        <v>50300</v>
      </c>
    </row>
    <row r="182" spans="1:9" x14ac:dyDescent="0.25">
      <c r="A182" t="s">
        <v>180</v>
      </c>
      <c r="B182" s="1">
        <v>44647</v>
      </c>
      <c r="C182">
        <f>YEAR(yt_sports_channels_stats[[#This Row],[Start Date]])</f>
        <v>2022</v>
      </c>
      <c r="D182" s="1" t="str">
        <f>IF(YEAR(yt_sports_channels_stats[[#This Row],[Start Date]])&lt;2011,"Old Gen",IF(AND(YEAR(yt_sports_channels_stats[[#This Row],[Start Date]]&gt;2011),YEAR(yt_sports_channels_stats[[#This Row],[Start Date]])&lt;2020),"Mid Gen","New Gen"))</f>
        <v>New Gen</v>
      </c>
      <c r="E182">
        <v>797</v>
      </c>
      <c r="F182">
        <v>11748183</v>
      </c>
      <c r="G182">
        <f>yt_sports_channels_stats[[#This Row],[view_count]]/yt_sports_channels_stats[[#This Row],[video_count]]</f>
        <v>14740.505646173149</v>
      </c>
      <c r="H182" s="4">
        <f>yt_sports_channels_stats[[#This Row],[subscriber_count]]/yt_sports_channels_stats[[#This Row],[view_count]]</f>
        <v>6.2392627013045333E-3</v>
      </c>
      <c r="I182">
        <v>73300</v>
      </c>
    </row>
    <row r="183" spans="1:9" x14ac:dyDescent="0.25">
      <c r="A183" t="s">
        <v>181</v>
      </c>
      <c r="B183" s="1">
        <v>43769</v>
      </c>
      <c r="C183">
        <f>YEAR(yt_sports_channels_stats[[#This Row],[Start Date]])</f>
        <v>2019</v>
      </c>
      <c r="D183" s="1" t="str">
        <f>IF(YEAR(yt_sports_channels_stats[[#This Row],[Start Date]])&lt;2011,"Old Gen",IF(AND(YEAR(yt_sports_channels_stats[[#This Row],[Start Date]]&gt;2011),YEAR(yt_sports_channels_stats[[#This Row],[Start Date]])&lt;2020),"Mid Gen","New Gen"))</f>
        <v>Mid Gen</v>
      </c>
      <c r="E183">
        <v>1971</v>
      </c>
      <c r="F183">
        <v>8380168</v>
      </c>
      <c r="G183">
        <f>yt_sports_channels_stats[[#This Row],[view_count]]/yt_sports_channels_stats[[#This Row],[video_count]]</f>
        <v>4251.7341451040083</v>
      </c>
      <c r="H183" s="4">
        <f>yt_sports_channels_stats[[#This Row],[subscriber_count]]/yt_sports_channels_stats[[#This Row],[view_count]]</f>
        <v>4.9163692183736649E-3</v>
      </c>
      <c r="I183">
        <v>41200</v>
      </c>
    </row>
    <row r="184" spans="1:9" x14ac:dyDescent="0.25">
      <c r="A184" t="s">
        <v>182</v>
      </c>
      <c r="B184" s="1">
        <v>41614</v>
      </c>
      <c r="C184">
        <f>YEAR(yt_sports_channels_stats[[#This Row],[Start Date]])</f>
        <v>2013</v>
      </c>
      <c r="D184" s="1" t="str">
        <f>IF(YEAR(yt_sports_channels_stats[[#This Row],[Start Date]])&lt;2011,"Old Gen",IF(AND(YEAR(yt_sports_channels_stats[[#This Row],[Start Date]]&gt;2011),YEAR(yt_sports_channels_stats[[#This Row],[Start Date]])&lt;2020),"Mid Gen","New Gen"))</f>
        <v>Mid Gen</v>
      </c>
      <c r="E184">
        <v>6223</v>
      </c>
      <c r="F184">
        <v>57577738</v>
      </c>
      <c r="G184">
        <f>yt_sports_channels_stats[[#This Row],[view_count]]/yt_sports_channels_stats[[#This Row],[video_count]]</f>
        <v>9252.4084846537044</v>
      </c>
      <c r="H184" s="4">
        <f>yt_sports_channels_stats[[#This Row],[subscriber_count]]/yt_sports_channels_stats[[#This Row],[view_count]]</f>
        <v>1.8236214837060809E-3</v>
      </c>
      <c r="I184">
        <v>105000</v>
      </c>
    </row>
    <row r="185" spans="1:9" x14ac:dyDescent="0.25">
      <c r="A185" t="s">
        <v>183</v>
      </c>
      <c r="B185" s="1">
        <v>43980</v>
      </c>
      <c r="C185">
        <f>YEAR(yt_sports_channels_stats[[#This Row],[Start Date]])</f>
        <v>2020</v>
      </c>
      <c r="D185" s="1" t="str">
        <f>IF(YEAR(yt_sports_channels_stats[[#This Row],[Start Date]])&lt;2011,"Old Gen",IF(AND(YEAR(yt_sports_channels_stats[[#This Row],[Start Date]]&gt;2011),YEAR(yt_sports_channels_stats[[#This Row],[Start Date]])&lt;2020),"Mid Gen","New Gen"))</f>
        <v>New Gen</v>
      </c>
      <c r="E185">
        <v>1186</v>
      </c>
      <c r="F185">
        <v>9179576</v>
      </c>
      <c r="G185">
        <f>yt_sports_channels_stats[[#This Row],[view_count]]/yt_sports_channels_stats[[#This Row],[video_count]]</f>
        <v>7739.9460370994939</v>
      </c>
      <c r="H185" s="4">
        <f>yt_sports_channels_stats[[#This Row],[subscriber_count]]/yt_sports_channels_stats[[#This Row],[view_count]]</f>
        <v>3.6494060292109353E-3</v>
      </c>
      <c r="I185">
        <v>33500</v>
      </c>
    </row>
    <row r="186" spans="1:9" x14ac:dyDescent="0.25">
      <c r="A186" t="s">
        <v>184</v>
      </c>
      <c r="B186" s="1">
        <v>42742</v>
      </c>
      <c r="C186">
        <f>YEAR(yt_sports_channels_stats[[#This Row],[Start Date]])</f>
        <v>2017</v>
      </c>
      <c r="D186" s="1" t="str">
        <f>IF(YEAR(yt_sports_channels_stats[[#This Row],[Start Date]])&lt;2011,"Old Gen",IF(AND(YEAR(yt_sports_channels_stats[[#This Row],[Start Date]]&gt;2011),YEAR(yt_sports_channels_stats[[#This Row],[Start Date]])&lt;2020),"Mid Gen","New Gen"))</f>
        <v>Mid Gen</v>
      </c>
      <c r="E186">
        <v>6037</v>
      </c>
      <c r="F186">
        <v>195408577</v>
      </c>
      <c r="G186">
        <f>yt_sports_channels_stats[[#This Row],[view_count]]/yt_sports_channels_stats[[#This Row],[video_count]]</f>
        <v>32368.49047540169</v>
      </c>
      <c r="H186" s="4">
        <f>yt_sports_channels_stats[[#This Row],[subscriber_count]]/yt_sports_channels_stats[[#This Row],[view_count]]</f>
        <v>3.3621860927834299E-3</v>
      </c>
      <c r="I186">
        <v>657000</v>
      </c>
    </row>
    <row r="187" spans="1:9" x14ac:dyDescent="0.25">
      <c r="A187" t="s">
        <v>185</v>
      </c>
      <c r="B187" s="1">
        <v>43982</v>
      </c>
      <c r="C187">
        <f>YEAR(yt_sports_channels_stats[[#This Row],[Start Date]])</f>
        <v>2020</v>
      </c>
      <c r="D187" s="1" t="str">
        <f>IF(YEAR(yt_sports_channels_stats[[#This Row],[Start Date]])&lt;2011,"Old Gen",IF(AND(YEAR(yt_sports_channels_stats[[#This Row],[Start Date]]&gt;2011),YEAR(yt_sports_channels_stats[[#This Row],[Start Date]])&lt;2020),"Mid Gen","New Gen"))</f>
        <v>New Gen</v>
      </c>
      <c r="E187">
        <v>1145</v>
      </c>
      <c r="F187">
        <v>10150643</v>
      </c>
      <c r="G187">
        <f>yt_sports_channels_stats[[#This Row],[view_count]]/yt_sports_channels_stats[[#This Row],[video_count]]</f>
        <v>8865.1903930131011</v>
      </c>
      <c r="H187" s="4">
        <f>yt_sports_channels_stats[[#This Row],[subscriber_count]]/yt_sports_channels_stats[[#This Row],[view_count]]</f>
        <v>4.2558880260097805E-3</v>
      </c>
      <c r="I187">
        <v>43200</v>
      </c>
    </row>
    <row r="188" spans="1:9" x14ac:dyDescent="0.25">
      <c r="A188" t="s">
        <v>186</v>
      </c>
      <c r="B188" s="1">
        <v>43025</v>
      </c>
      <c r="C188">
        <f>YEAR(yt_sports_channels_stats[[#This Row],[Start Date]])</f>
        <v>2017</v>
      </c>
      <c r="D188" s="1" t="str">
        <f>IF(YEAR(yt_sports_channels_stats[[#This Row],[Start Date]])&lt;2011,"Old Gen",IF(AND(YEAR(yt_sports_channels_stats[[#This Row],[Start Date]]&gt;2011),YEAR(yt_sports_channels_stats[[#This Row],[Start Date]])&lt;2020),"Mid Gen","New Gen"))</f>
        <v>Mid Gen</v>
      </c>
      <c r="E188">
        <v>834</v>
      </c>
      <c r="F188">
        <v>1220250</v>
      </c>
      <c r="G188">
        <f>yt_sports_channels_stats[[#This Row],[view_count]]/yt_sports_channels_stats[[#This Row],[video_count]]</f>
        <v>1463.1294964028777</v>
      </c>
      <c r="H188" s="4">
        <f>yt_sports_channels_stats[[#This Row],[subscriber_count]]/yt_sports_channels_stats[[#This Row],[view_count]]</f>
        <v>4.0729358737963536E-3</v>
      </c>
      <c r="I188">
        <v>4970</v>
      </c>
    </row>
    <row r="189" spans="1:9" x14ac:dyDescent="0.25">
      <c r="A189" t="s">
        <v>187</v>
      </c>
      <c r="B189" s="1">
        <v>40823</v>
      </c>
      <c r="C189">
        <f>YEAR(yt_sports_channels_stats[[#This Row],[Start Date]])</f>
        <v>2011</v>
      </c>
      <c r="D189" s="1" t="str">
        <f>IF(YEAR(yt_sports_channels_stats[[#This Row],[Start Date]])&lt;2011,"Old Gen",IF(AND(YEAR(yt_sports_channels_stats[[#This Row],[Start Date]]&gt;2011),YEAR(yt_sports_channels_stats[[#This Row],[Start Date]])&lt;2020),"Mid Gen","New Gen"))</f>
        <v>Mid Gen</v>
      </c>
      <c r="E189">
        <v>2175</v>
      </c>
      <c r="F189">
        <v>29615302</v>
      </c>
      <c r="G189">
        <f>yt_sports_channels_stats[[#This Row],[view_count]]/yt_sports_channels_stats[[#This Row],[video_count]]</f>
        <v>13616.230804597701</v>
      </c>
      <c r="H189" s="4">
        <f>yt_sports_channels_stats[[#This Row],[subscriber_count]]/yt_sports_channels_stats[[#This Row],[view_count]]</f>
        <v>4.5584542747529643E-3</v>
      </c>
      <c r="I189">
        <v>135000</v>
      </c>
    </row>
    <row r="190" spans="1:9" x14ac:dyDescent="0.25">
      <c r="A190" t="s">
        <v>188</v>
      </c>
      <c r="B190" s="1">
        <v>45103</v>
      </c>
      <c r="C190">
        <f>YEAR(yt_sports_channels_stats[[#This Row],[Start Date]])</f>
        <v>2023</v>
      </c>
      <c r="D190" s="1" t="str">
        <f>IF(YEAR(yt_sports_channels_stats[[#This Row],[Start Date]])&lt;2011,"Old Gen",IF(AND(YEAR(yt_sports_channels_stats[[#This Row],[Start Date]]&gt;2011),YEAR(yt_sports_channels_stats[[#This Row],[Start Date]])&lt;2020),"Mid Gen","New Gen"))</f>
        <v>New Gen</v>
      </c>
      <c r="E190">
        <v>44</v>
      </c>
      <c r="F190">
        <v>63462</v>
      </c>
      <c r="G190">
        <f>yt_sports_channels_stats[[#This Row],[view_count]]/yt_sports_channels_stats[[#This Row],[video_count]]</f>
        <v>1442.3181818181818</v>
      </c>
      <c r="H190" s="4">
        <f>yt_sports_channels_stats[[#This Row],[subscriber_count]]/yt_sports_channels_stats[[#This Row],[view_count]]</f>
        <v>5.0896599539882133E-2</v>
      </c>
      <c r="I190">
        <v>3230</v>
      </c>
    </row>
    <row r="191" spans="1:9" x14ac:dyDescent="0.25">
      <c r="A191" t="s">
        <v>189</v>
      </c>
      <c r="B191" s="1">
        <v>44608</v>
      </c>
      <c r="C191">
        <f>YEAR(yt_sports_channels_stats[[#This Row],[Start Date]])</f>
        <v>2022</v>
      </c>
      <c r="D191" s="1" t="str">
        <f>IF(YEAR(yt_sports_channels_stats[[#This Row],[Start Date]])&lt;2011,"Old Gen",IF(AND(YEAR(yt_sports_channels_stats[[#This Row],[Start Date]]&gt;2011),YEAR(yt_sports_channels_stats[[#This Row],[Start Date]])&lt;2020),"Mid Gen","New Gen"))</f>
        <v>New Gen</v>
      </c>
      <c r="E191">
        <v>261</v>
      </c>
      <c r="F191">
        <v>272015</v>
      </c>
      <c r="G191">
        <f>yt_sports_channels_stats[[#This Row],[view_count]]/yt_sports_channels_stats[[#This Row],[video_count]]</f>
        <v>1042.2030651340997</v>
      </c>
      <c r="H191" s="4">
        <f>yt_sports_channels_stats[[#This Row],[subscriber_count]]/yt_sports_channels_stats[[#This Row],[view_count]]</f>
        <v>8.1613146333841882E-3</v>
      </c>
      <c r="I191">
        <v>2220</v>
      </c>
    </row>
    <row r="192" spans="1:9" x14ac:dyDescent="0.25">
      <c r="A192" t="s">
        <v>190</v>
      </c>
      <c r="B192" s="1">
        <v>42006</v>
      </c>
      <c r="C192">
        <f>YEAR(yt_sports_channels_stats[[#This Row],[Start Date]])</f>
        <v>2015</v>
      </c>
      <c r="D192" s="1" t="str">
        <f>IF(YEAR(yt_sports_channels_stats[[#This Row],[Start Date]])&lt;2011,"Old Gen",IF(AND(YEAR(yt_sports_channels_stats[[#This Row],[Start Date]]&gt;2011),YEAR(yt_sports_channels_stats[[#This Row],[Start Date]])&lt;2020),"Mid Gen","New Gen"))</f>
        <v>Mid Gen</v>
      </c>
      <c r="E192">
        <v>60</v>
      </c>
      <c r="F192">
        <v>1091947</v>
      </c>
      <c r="G192">
        <f>yt_sports_channels_stats[[#This Row],[view_count]]/yt_sports_channels_stats[[#This Row],[video_count]]</f>
        <v>18199.116666666665</v>
      </c>
      <c r="H192" s="4">
        <f>yt_sports_channels_stats[[#This Row],[subscriber_count]]/yt_sports_channels_stats[[#This Row],[view_count]]</f>
        <v>1.2821135091721485E-2</v>
      </c>
      <c r="I192">
        <v>14000</v>
      </c>
    </row>
    <row r="193" spans="1:9" x14ac:dyDescent="0.25">
      <c r="A193" t="s">
        <v>191</v>
      </c>
      <c r="B193" s="1">
        <v>44714</v>
      </c>
      <c r="C193">
        <f>YEAR(yt_sports_channels_stats[[#This Row],[Start Date]])</f>
        <v>2022</v>
      </c>
      <c r="D193" s="1" t="str">
        <f>IF(YEAR(yt_sports_channels_stats[[#This Row],[Start Date]])&lt;2011,"Old Gen",IF(AND(YEAR(yt_sports_channels_stats[[#This Row],[Start Date]]&gt;2011),YEAR(yt_sports_channels_stats[[#This Row],[Start Date]])&lt;2020),"Mid Gen","New Gen"))</f>
        <v>New Gen</v>
      </c>
      <c r="E193">
        <v>92</v>
      </c>
      <c r="F193">
        <v>16302724</v>
      </c>
      <c r="G193">
        <f>yt_sports_channels_stats[[#This Row],[view_count]]/yt_sports_channels_stats[[#This Row],[video_count]]</f>
        <v>177203.52173913043</v>
      </c>
      <c r="H193" s="4">
        <f>yt_sports_channels_stats[[#This Row],[subscriber_count]]/yt_sports_channels_stats[[#This Row],[view_count]]</f>
        <v>5.3917369882480991E-3</v>
      </c>
      <c r="I193">
        <v>87900</v>
      </c>
    </row>
    <row r="194" spans="1:9" x14ac:dyDescent="0.25">
      <c r="A194" t="s">
        <v>192</v>
      </c>
      <c r="B194" s="1">
        <v>38873</v>
      </c>
      <c r="C194">
        <f>YEAR(yt_sports_channels_stats[[#This Row],[Start Date]])</f>
        <v>2006</v>
      </c>
      <c r="D194" s="1" t="str">
        <f>IF(YEAR(yt_sports_channels_stats[[#This Row],[Start Date]])&lt;2011,"Old Gen",IF(AND(YEAR(yt_sports_channels_stats[[#This Row],[Start Date]]&gt;2011),YEAR(yt_sports_channels_stats[[#This Row],[Start Date]])&lt;2020),"Mid Gen","New Gen"))</f>
        <v>Old Gen</v>
      </c>
      <c r="E194">
        <v>5049</v>
      </c>
      <c r="F194">
        <v>587520296</v>
      </c>
      <c r="G194">
        <f>yt_sports_channels_stats[[#This Row],[view_count]]/yt_sports_channels_stats[[#This Row],[video_count]]</f>
        <v>116363.69498910675</v>
      </c>
      <c r="H194" s="4">
        <f>yt_sports_channels_stats[[#This Row],[subscriber_count]]/yt_sports_channels_stats[[#This Row],[view_count]]</f>
        <v>1.8892964337694981E-3</v>
      </c>
      <c r="I194">
        <v>1110000</v>
      </c>
    </row>
    <row r="195" spans="1:9" x14ac:dyDescent="0.25">
      <c r="A195" t="s">
        <v>193</v>
      </c>
      <c r="B195" s="1">
        <v>42216</v>
      </c>
      <c r="C195">
        <f>YEAR(yt_sports_channels_stats[[#This Row],[Start Date]])</f>
        <v>2015</v>
      </c>
      <c r="D195" s="1" t="str">
        <f>IF(YEAR(yt_sports_channels_stats[[#This Row],[Start Date]])&lt;2011,"Old Gen",IF(AND(YEAR(yt_sports_channels_stats[[#This Row],[Start Date]]&gt;2011),YEAR(yt_sports_channels_stats[[#This Row],[Start Date]])&lt;2020),"Mid Gen","New Gen"))</f>
        <v>Mid Gen</v>
      </c>
      <c r="E195">
        <v>10077</v>
      </c>
      <c r="F195">
        <v>39357109</v>
      </c>
      <c r="G195">
        <f>yt_sports_channels_stats[[#This Row],[view_count]]/yt_sports_channels_stats[[#This Row],[video_count]]</f>
        <v>3905.6374913168602</v>
      </c>
      <c r="H195" s="4">
        <f>yt_sports_channels_stats[[#This Row],[subscriber_count]]/yt_sports_channels_stats[[#This Row],[view_count]]</f>
        <v>1.8243209886173296E-3</v>
      </c>
      <c r="I195">
        <v>71800</v>
      </c>
    </row>
    <row r="196" spans="1:9" x14ac:dyDescent="0.25">
      <c r="A196" t="s">
        <v>194</v>
      </c>
      <c r="B196" s="1">
        <v>45138</v>
      </c>
      <c r="C196">
        <f>YEAR(yt_sports_channels_stats[[#This Row],[Start Date]])</f>
        <v>2023</v>
      </c>
      <c r="D196" s="1" t="str">
        <f>IF(YEAR(yt_sports_channels_stats[[#This Row],[Start Date]])&lt;2011,"Old Gen",IF(AND(YEAR(yt_sports_channels_stats[[#This Row],[Start Date]]&gt;2011),YEAR(yt_sports_channels_stats[[#This Row],[Start Date]])&lt;2020),"Mid Gen","New Gen"))</f>
        <v>New Gen</v>
      </c>
      <c r="E196">
        <v>1520</v>
      </c>
      <c r="F196">
        <v>11096031</v>
      </c>
      <c r="G196">
        <f>yt_sports_channels_stats[[#This Row],[view_count]]/yt_sports_channels_stats[[#This Row],[video_count]]</f>
        <v>7300.0203947368418</v>
      </c>
      <c r="H196" s="4">
        <f>yt_sports_channels_stats[[#This Row],[subscriber_count]]/yt_sports_channels_stats[[#This Row],[view_count]]</f>
        <v>7.6423723041148675E-3</v>
      </c>
      <c r="I196">
        <v>84800</v>
      </c>
    </row>
    <row r="197" spans="1:9" x14ac:dyDescent="0.25">
      <c r="A197" t="s">
        <v>195</v>
      </c>
      <c r="B197" s="1">
        <v>44912</v>
      </c>
      <c r="C197">
        <f>YEAR(yt_sports_channels_stats[[#This Row],[Start Date]])</f>
        <v>2022</v>
      </c>
      <c r="D197" s="1" t="str">
        <f>IF(YEAR(yt_sports_channels_stats[[#This Row],[Start Date]])&lt;2011,"Old Gen",IF(AND(YEAR(yt_sports_channels_stats[[#This Row],[Start Date]]&gt;2011),YEAR(yt_sports_channels_stats[[#This Row],[Start Date]])&lt;2020),"Mid Gen","New Gen"))</f>
        <v>New Gen</v>
      </c>
      <c r="E197">
        <v>390</v>
      </c>
      <c r="F197">
        <v>776181</v>
      </c>
      <c r="G197">
        <f>yt_sports_channels_stats[[#This Row],[view_count]]/yt_sports_channels_stats[[#This Row],[video_count]]</f>
        <v>1990.2076923076922</v>
      </c>
      <c r="H197" s="4">
        <f>yt_sports_channels_stats[[#This Row],[subscriber_count]]/yt_sports_channels_stats[[#This Row],[view_count]]</f>
        <v>4.2773528339395068E-3</v>
      </c>
      <c r="I197">
        <v>3320</v>
      </c>
    </row>
    <row r="198" spans="1:9" x14ac:dyDescent="0.25">
      <c r="A198" t="s">
        <v>196</v>
      </c>
      <c r="B198" s="1">
        <v>41423</v>
      </c>
      <c r="C198">
        <f>YEAR(yt_sports_channels_stats[[#This Row],[Start Date]])</f>
        <v>2013</v>
      </c>
      <c r="D198" s="1" t="str">
        <f>IF(YEAR(yt_sports_channels_stats[[#This Row],[Start Date]])&lt;2011,"Old Gen",IF(AND(YEAR(yt_sports_channels_stats[[#This Row],[Start Date]]&gt;2011),YEAR(yt_sports_channels_stats[[#This Row],[Start Date]])&lt;2020),"Mid Gen","New Gen"))</f>
        <v>Mid Gen</v>
      </c>
      <c r="E198">
        <v>1120</v>
      </c>
      <c r="F198">
        <v>47705348</v>
      </c>
      <c r="G198">
        <f>yt_sports_channels_stats[[#This Row],[view_count]]/yt_sports_channels_stats[[#This Row],[video_count]]</f>
        <v>42594.060714285712</v>
      </c>
      <c r="H198" s="4">
        <f>yt_sports_channels_stats[[#This Row],[subscriber_count]]/yt_sports_channels_stats[[#This Row],[view_count]]</f>
        <v>4.33913614884436E-3</v>
      </c>
      <c r="I198">
        <v>207000</v>
      </c>
    </row>
    <row r="199" spans="1:9" x14ac:dyDescent="0.25">
      <c r="A199" t="s">
        <v>197</v>
      </c>
      <c r="B199" s="1">
        <v>41879</v>
      </c>
      <c r="C199">
        <f>YEAR(yt_sports_channels_stats[[#This Row],[Start Date]])</f>
        <v>2014</v>
      </c>
      <c r="D199" s="1" t="str">
        <f>IF(YEAR(yt_sports_channels_stats[[#This Row],[Start Date]])&lt;2011,"Old Gen",IF(AND(YEAR(yt_sports_channels_stats[[#This Row],[Start Date]]&gt;2011),YEAR(yt_sports_channels_stats[[#This Row],[Start Date]])&lt;2020),"Mid Gen","New Gen"))</f>
        <v>Mid Gen</v>
      </c>
      <c r="E199">
        <v>8799</v>
      </c>
      <c r="F199">
        <v>14962295</v>
      </c>
      <c r="G199">
        <f>yt_sports_channels_stats[[#This Row],[view_count]]/yt_sports_channels_stats[[#This Row],[video_count]]</f>
        <v>1700.4540288669166</v>
      </c>
      <c r="H199" s="4">
        <f>yt_sports_channels_stats[[#This Row],[subscriber_count]]/yt_sports_channels_stats[[#This Row],[view_count]]</f>
        <v>1.1361893345907162E-3</v>
      </c>
      <c r="I199">
        <v>17000</v>
      </c>
    </row>
    <row r="200" spans="1:9" x14ac:dyDescent="0.25">
      <c r="A200" t="s">
        <v>198</v>
      </c>
      <c r="B200" s="1">
        <v>45288</v>
      </c>
      <c r="C200">
        <f>YEAR(yt_sports_channels_stats[[#This Row],[Start Date]])</f>
        <v>2023</v>
      </c>
      <c r="D200" s="1" t="str">
        <f>IF(YEAR(yt_sports_channels_stats[[#This Row],[Start Date]])&lt;2011,"Old Gen",IF(AND(YEAR(yt_sports_channels_stats[[#This Row],[Start Date]]&gt;2011),YEAR(yt_sports_channels_stats[[#This Row],[Start Date]])&lt;2020),"Mid Gen","New Gen"))</f>
        <v>New Gen</v>
      </c>
      <c r="E200">
        <v>17</v>
      </c>
      <c r="F200">
        <v>9223</v>
      </c>
      <c r="G200">
        <f>yt_sports_channels_stats[[#This Row],[view_count]]/yt_sports_channels_stats[[#This Row],[video_count]]</f>
        <v>542.52941176470586</v>
      </c>
      <c r="H200" s="4">
        <f>yt_sports_channels_stats[[#This Row],[subscriber_count]]/yt_sports_channels_stats[[#This Row],[view_count]]</f>
        <v>4.2394014962593519E-2</v>
      </c>
      <c r="I200">
        <v>391</v>
      </c>
    </row>
    <row r="201" spans="1:9" x14ac:dyDescent="0.25">
      <c r="A201" t="s">
        <v>477</v>
      </c>
      <c r="B201" s="1">
        <v>45039</v>
      </c>
      <c r="C201">
        <f>YEAR(yt_sports_channels_stats[[#This Row],[Start Date]])</f>
        <v>2023</v>
      </c>
      <c r="D201" s="1" t="str">
        <f>IF(YEAR(yt_sports_channels_stats[[#This Row],[Start Date]])&lt;2011,"Old Gen",IF(AND(YEAR(yt_sports_channels_stats[[#This Row],[Start Date]]&gt;2011),YEAR(yt_sports_channels_stats[[#This Row],[Start Date]])&lt;2020),"Mid Gen","New Gen"))</f>
        <v>New Gen</v>
      </c>
      <c r="E201">
        <v>478</v>
      </c>
      <c r="F201">
        <v>2760646</v>
      </c>
      <c r="G201">
        <f>yt_sports_channels_stats[[#This Row],[view_count]]/yt_sports_channels_stats[[#This Row],[video_count]]</f>
        <v>5775.4100418410044</v>
      </c>
      <c r="H201" s="4">
        <f>yt_sports_channels_stats[[#This Row],[subscriber_count]]/yt_sports_channels_stats[[#This Row],[view_count]]</f>
        <v>5.3248406351267055E-3</v>
      </c>
      <c r="I201">
        <v>14700</v>
      </c>
    </row>
    <row r="202" spans="1:9" x14ac:dyDescent="0.25">
      <c r="A202" t="s">
        <v>197</v>
      </c>
      <c r="B202" s="1">
        <v>41879</v>
      </c>
      <c r="C202">
        <f>YEAR(yt_sports_channels_stats[[#This Row],[Start Date]])</f>
        <v>2014</v>
      </c>
      <c r="D202" s="1" t="str">
        <f>IF(YEAR(yt_sports_channels_stats[[#This Row],[Start Date]])&lt;2011,"Old Gen",IF(AND(YEAR(yt_sports_channels_stats[[#This Row],[Start Date]]&gt;2011),YEAR(yt_sports_channels_stats[[#This Row],[Start Date]])&lt;2020),"Mid Gen","New Gen"))</f>
        <v>Mid Gen</v>
      </c>
      <c r="E202">
        <v>8799</v>
      </c>
      <c r="F202">
        <v>14962295</v>
      </c>
      <c r="G202">
        <f>yt_sports_channels_stats[[#This Row],[view_count]]/yt_sports_channels_stats[[#This Row],[video_count]]</f>
        <v>1700.4540288669166</v>
      </c>
      <c r="H202" s="4">
        <f>yt_sports_channels_stats[[#This Row],[subscriber_count]]/yt_sports_channels_stats[[#This Row],[view_count]]</f>
        <v>1.1361893345907162E-3</v>
      </c>
      <c r="I202">
        <v>17000</v>
      </c>
    </row>
    <row r="203" spans="1:9" x14ac:dyDescent="0.25">
      <c r="A203" t="s">
        <v>198</v>
      </c>
      <c r="B203" s="1">
        <v>45288</v>
      </c>
      <c r="C203">
        <f>YEAR(yt_sports_channels_stats[[#This Row],[Start Date]])</f>
        <v>2023</v>
      </c>
      <c r="D203" s="1" t="str">
        <f>IF(YEAR(yt_sports_channels_stats[[#This Row],[Start Date]])&lt;2011,"Old Gen",IF(AND(YEAR(yt_sports_channels_stats[[#This Row],[Start Date]]&gt;2011),YEAR(yt_sports_channels_stats[[#This Row],[Start Date]])&lt;2020),"Mid Gen","New Gen"))</f>
        <v>New Gen</v>
      </c>
      <c r="E203">
        <v>17</v>
      </c>
      <c r="F203">
        <v>9223</v>
      </c>
      <c r="G203">
        <f>yt_sports_channels_stats[[#This Row],[view_count]]/yt_sports_channels_stats[[#This Row],[video_count]]</f>
        <v>542.52941176470586</v>
      </c>
      <c r="H203" s="4">
        <f>yt_sports_channels_stats[[#This Row],[subscriber_count]]/yt_sports_channels_stats[[#This Row],[view_count]]</f>
        <v>4.2394014962593519E-2</v>
      </c>
      <c r="I203">
        <v>391</v>
      </c>
    </row>
    <row r="204" spans="1:9" x14ac:dyDescent="0.25">
      <c r="A204" t="s">
        <v>199</v>
      </c>
      <c r="B204" s="1">
        <v>42571</v>
      </c>
      <c r="C204">
        <f>YEAR(yt_sports_channels_stats[[#This Row],[Start Date]])</f>
        <v>2016</v>
      </c>
      <c r="D204" s="1" t="str">
        <f>IF(YEAR(yt_sports_channels_stats[[#This Row],[Start Date]])&lt;2011,"Old Gen",IF(AND(YEAR(yt_sports_channels_stats[[#This Row],[Start Date]]&gt;2011),YEAR(yt_sports_channels_stats[[#This Row],[Start Date]])&lt;2020),"Mid Gen","New Gen"))</f>
        <v>Mid Gen</v>
      </c>
      <c r="E204">
        <v>5797</v>
      </c>
      <c r="F204">
        <v>82109414</v>
      </c>
      <c r="G204">
        <f>yt_sports_channels_stats[[#This Row],[view_count]]/yt_sports_channels_stats[[#This Row],[video_count]]</f>
        <v>14164.121787131275</v>
      </c>
      <c r="H204" s="4">
        <f>yt_sports_channels_stats[[#This Row],[subscriber_count]]/yt_sports_channels_stats[[#This Row],[view_count]]</f>
        <v>1.3153181193084633E-3</v>
      </c>
      <c r="I204">
        <v>108000</v>
      </c>
    </row>
    <row r="205" spans="1:9" x14ac:dyDescent="0.25">
      <c r="A205" t="s">
        <v>200</v>
      </c>
      <c r="B205" s="1">
        <v>42198</v>
      </c>
      <c r="C205">
        <f>YEAR(yt_sports_channels_stats[[#This Row],[Start Date]])</f>
        <v>2015</v>
      </c>
      <c r="D205" s="1" t="str">
        <f>IF(YEAR(yt_sports_channels_stats[[#This Row],[Start Date]])&lt;2011,"Old Gen",IF(AND(YEAR(yt_sports_channels_stats[[#This Row],[Start Date]]&gt;2011),YEAR(yt_sports_channels_stats[[#This Row],[Start Date]])&lt;2020),"Mid Gen","New Gen"))</f>
        <v>Mid Gen</v>
      </c>
      <c r="E205">
        <v>6542</v>
      </c>
      <c r="F205">
        <v>4512060</v>
      </c>
      <c r="G205">
        <f>yt_sports_channels_stats[[#This Row],[view_count]]/yt_sports_channels_stats[[#This Row],[video_count]]</f>
        <v>689.70651177010086</v>
      </c>
      <c r="H205" s="4">
        <f>yt_sports_channels_stats[[#This Row],[subscriber_count]]/yt_sports_channels_stats[[#This Row],[view_count]]</f>
        <v>2.6595391018736452E-3</v>
      </c>
      <c r="I205">
        <v>12000</v>
      </c>
    </row>
    <row r="206" spans="1:9" x14ac:dyDescent="0.25">
      <c r="A206" t="s">
        <v>201</v>
      </c>
      <c r="B206" s="1">
        <v>44893</v>
      </c>
      <c r="C206">
        <f>YEAR(yt_sports_channels_stats[[#This Row],[Start Date]])</f>
        <v>2022</v>
      </c>
      <c r="D206" s="1" t="str">
        <f>IF(YEAR(yt_sports_channels_stats[[#This Row],[Start Date]])&lt;2011,"Old Gen",IF(AND(YEAR(yt_sports_channels_stats[[#This Row],[Start Date]]&gt;2011),YEAR(yt_sports_channels_stats[[#This Row],[Start Date]])&lt;2020),"Mid Gen","New Gen"))</f>
        <v>New Gen</v>
      </c>
      <c r="E206">
        <v>15</v>
      </c>
      <c r="F206">
        <v>7346</v>
      </c>
      <c r="G206">
        <f>yt_sports_channels_stats[[#This Row],[view_count]]/yt_sports_channels_stats[[#This Row],[video_count]]</f>
        <v>489.73333333333335</v>
      </c>
      <c r="H206" s="4">
        <f>yt_sports_channels_stats[[#This Row],[subscriber_count]]/yt_sports_channels_stats[[#This Row],[view_count]]</f>
        <v>1.4701878573373264E-2</v>
      </c>
      <c r="I206">
        <v>108</v>
      </c>
    </row>
    <row r="207" spans="1:9" x14ac:dyDescent="0.25">
      <c r="A207" t="s">
        <v>202</v>
      </c>
      <c r="B207" s="1">
        <v>42901</v>
      </c>
      <c r="C207">
        <f>YEAR(yt_sports_channels_stats[[#This Row],[Start Date]])</f>
        <v>2017</v>
      </c>
      <c r="D207" s="1" t="str">
        <f>IF(YEAR(yt_sports_channels_stats[[#This Row],[Start Date]])&lt;2011,"Old Gen",IF(AND(YEAR(yt_sports_channels_stats[[#This Row],[Start Date]]&gt;2011),YEAR(yt_sports_channels_stats[[#This Row],[Start Date]])&lt;2020),"Mid Gen","New Gen"))</f>
        <v>Mid Gen</v>
      </c>
      <c r="E207">
        <v>565</v>
      </c>
      <c r="F207">
        <v>14243848</v>
      </c>
      <c r="G207">
        <f>yt_sports_channels_stats[[#This Row],[view_count]]/yt_sports_channels_stats[[#This Row],[video_count]]</f>
        <v>25210.350442477877</v>
      </c>
      <c r="H207" s="4">
        <f>yt_sports_channels_stats[[#This Row],[subscriber_count]]/yt_sports_channels_stats[[#This Row],[view_count]]</f>
        <v>3.3207318696464607E-3</v>
      </c>
      <c r="I207">
        <v>47300</v>
      </c>
    </row>
    <row r="208" spans="1:9" x14ac:dyDescent="0.25">
      <c r="A208" t="s">
        <v>203</v>
      </c>
      <c r="B208" s="1">
        <v>40946</v>
      </c>
      <c r="C208">
        <f>YEAR(yt_sports_channels_stats[[#This Row],[Start Date]])</f>
        <v>2012</v>
      </c>
      <c r="D208" s="1" t="str">
        <f>IF(YEAR(yt_sports_channels_stats[[#This Row],[Start Date]])&lt;2011,"Old Gen",IF(AND(YEAR(yt_sports_channels_stats[[#This Row],[Start Date]]&gt;2011),YEAR(yt_sports_channels_stats[[#This Row],[Start Date]])&lt;2020),"Mid Gen","New Gen"))</f>
        <v>Mid Gen</v>
      </c>
      <c r="E208">
        <v>28484</v>
      </c>
      <c r="F208">
        <v>3193685742</v>
      </c>
      <c r="G208">
        <f>yt_sports_channels_stats[[#This Row],[view_count]]/yt_sports_channels_stats[[#This Row],[video_count]]</f>
        <v>112122.09457941301</v>
      </c>
      <c r="H208" s="4">
        <f>yt_sports_channels_stats[[#This Row],[subscriber_count]]/yt_sports_channels_stats[[#This Row],[view_count]]</f>
        <v>1.1554048513518398E-3</v>
      </c>
      <c r="I208">
        <v>3690000</v>
      </c>
    </row>
    <row r="209" spans="1:9" x14ac:dyDescent="0.25">
      <c r="A209" t="s">
        <v>204</v>
      </c>
      <c r="B209" s="1">
        <v>44752</v>
      </c>
      <c r="C209">
        <f>YEAR(yt_sports_channels_stats[[#This Row],[Start Date]])</f>
        <v>2022</v>
      </c>
      <c r="D209" s="1" t="str">
        <f>IF(YEAR(yt_sports_channels_stats[[#This Row],[Start Date]])&lt;2011,"Old Gen",IF(AND(YEAR(yt_sports_channels_stats[[#This Row],[Start Date]]&gt;2011),YEAR(yt_sports_channels_stats[[#This Row],[Start Date]])&lt;2020),"Mid Gen","New Gen"))</f>
        <v>New Gen</v>
      </c>
      <c r="E209">
        <v>338</v>
      </c>
      <c r="F209">
        <v>111091</v>
      </c>
      <c r="G209">
        <f>yt_sports_channels_stats[[#This Row],[view_count]]/yt_sports_channels_stats[[#This Row],[video_count]]</f>
        <v>328.67159763313612</v>
      </c>
      <c r="H209" s="4">
        <f>yt_sports_channels_stats[[#This Row],[subscriber_count]]/yt_sports_channels_stats[[#This Row],[view_count]]</f>
        <v>9.8117759314435907E-3</v>
      </c>
      <c r="I209">
        <v>1090</v>
      </c>
    </row>
    <row r="210" spans="1:9" x14ac:dyDescent="0.25">
      <c r="A210" t="s">
        <v>205</v>
      </c>
      <c r="B210" s="1">
        <v>43990</v>
      </c>
      <c r="C210">
        <f>YEAR(yt_sports_channels_stats[[#This Row],[Start Date]])</f>
        <v>2020</v>
      </c>
      <c r="D210" s="1" t="str">
        <f>IF(YEAR(yt_sports_channels_stats[[#This Row],[Start Date]])&lt;2011,"Old Gen",IF(AND(YEAR(yt_sports_channels_stats[[#This Row],[Start Date]]&gt;2011),YEAR(yt_sports_channels_stats[[#This Row],[Start Date]])&lt;2020),"Mid Gen","New Gen"))</f>
        <v>New Gen</v>
      </c>
      <c r="E210">
        <v>920</v>
      </c>
      <c r="F210">
        <v>23413479</v>
      </c>
      <c r="G210">
        <f>yt_sports_channels_stats[[#This Row],[view_count]]/yt_sports_channels_stats[[#This Row],[video_count]]</f>
        <v>25449.433695652173</v>
      </c>
      <c r="H210" s="4">
        <f>yt_sports_channels_stats[[#This Row],[subscriber_count]]/yt_sports_channels_stats[[#This Row],[view_count]]</f>
        <v>2.3277190032288666E-3</v>
      </c>
      <c r="I210">
        <v>54500</v>
      </c>
    </row>
    <row r="211" spans="1:9" x14ac:dyDescent="0.25">
      <c r="A211" t="s">
        <v>206</v>
      </c>
      <c r="B211" s="1">
        <v>43144</v>
      </c>
      <c r="C211">
        <f>YEAR(yt_sports_channels_stats[[#This Row],[Start Date]])</f>
        <v>2018</v>
      </c>
      <c r="D211" s="1" t="str">
        <f>IF(YEAR(yt_sports_channels_stats[[#This Row],[Start Date]])&lt;2011,"Old Gen",IF(AND(YEAR(yt_sports_channels_stats[[#This Row],[Start Date]]&gt;2011),YEAR(yt_sports_channels_stats[[#This Row],[Start Date]])&lt;2020),"Mid Gen","New Gen"))</f>
        <v>Mid Gen</v>
      </c>
      <c r="E211">
        <v>3074</v>
      </c>
      <c r="F211">
        <v>62702740</v>
      </c>
      <c r="G211">
        <f>yt_sports_channels_stats[[#This Row],[view_count]]/yt_sports_channels_stats[[#This Row],[video_count]]</f>
        <v>20397.768379960962</v>
      </c>
      <c r="H211" s="4">
        <f>yt_sports_channels_stats[[#This Row],[subscriber_count]]/yt_sports_channels_stats[[#This Row],[view_count]]</f>
        <v>2.6314639519740284E-3</v>
      </c>
      <c r="I211">
        <v>165000</v>
      </c>
    </row>
    <row r="212" spans="1:9" x14ac:dyDescent="0.25">
      <c r="A212" t="s">
        <v>207</v>
      </c>
      <c r="B212" s="1">
        <v>42737</v>
      </c>
      <c r="C212">
        <f>YEAR(yt_sports_channels_stats[[#This Row],[Start Date]])</f>
        <v>2017</v>
      </c>
      <c r="D212" s="1" t="str">
        <f>IF(YEAR(yt_sports_channels_stats[[#This Row],[Start Date]])&lt;2011,"Old Gen",IF(AND(YEAR(yt_sports_channels_stats[[#This Row],[Start Date]]&gt;2011),YEAR(yt_sports_channels_stats[[#This Row],[Start Date]])&lt;2020),"Mid Gen","New Gen"))</f>
        <v>Mid Gen</v>
      </c>
      <c r="E212">
        <v>3245</v>
      </c>
      <c r="F212">
        <v>88888016</v>
      </c>
      <c r="G212">
        <f>yt_sports_channels_stats[[#This Row],[view_count]]/yt_sports_channels_stats[[#This Row],[video_count]]</f>
        <v>27392.300770416026</v>
      </c>
      <c r="H212" s="4">
        <f>yt_sports_channels_stats[[#This Row],[subscriber_count]]/yt_sports_channels_stats[[#This Row],[view_count]]</f>
        <v>1.8562682285540044E-3</v>
      </c>
      <c r="I212">
        <v>165000</v>
      </c>
    </row>
    <row r="213" spans="1:9" x14ac:dyDescent="0.25">
      <c r="A213" t="s">
        <v>208</v>
      </c>
      <c r="B213" s="1">
        <v>43872</v>
      </c>
      <c r="C213">
        <f>YEAR(yt_sports_channels_stats[[#This Row],[Start Date]])</f>
        <v>2020</v>
      </c>
      <c r="D213" s="1" t="str">
        <f>IF(YEAR(yt_sports_channels_stats[[#This Row],[Start Date]])&lt;2011,"Old Gen",IF(AND(YEAR(yt_sports_channels_stats[[#This Row],[Start Date]]&gt;2011),YEAR(yt_sports_channels_stats[[#This Row],[Start Date]])&lt;2020),"Mid Gen","New Gen"))</f>
        <v>New Gen</v>
      </c>
      <c r="E213">
        <v>1584</v>
      </c>
      <c r="F213">
        <v>236976267</v>
      </c>
      <c r="G213">
        <f>yt_sports_channels_stats[[#This Row],[view_count]]/yt_sports_channels_stats[[#This Row],[video_count]]</f>
        <v>149606.22916666666</v>
      </c>
      <c r="H213" s="4">
        <f>yt_sports_channels_stats[[#This Row],[subscriber_count]]/yt_sports_channels_stats[[#This Row],[view_count]]</f>
        <v>2.5572181031951187E-3</v>
      </c>
      <c r="I213">
        <v>606000</v>
      </c>
    </row>
    <row r="214" spans="1:9" x14ac:dyDescent="0.25">
      <c r="A214" t="s">
        <v>209</v>
      </c>
      <c r="B214" s="1">
        <v>45279</v>
      </c>
      <c r="C214">
        <f>YEAR(yt_sports_channels_stats[[#This Row],[Start Date]])</f>
        <v>2023</v>
      </c>
      <c r="D214" s="1" t="str">
        <f>IF(YEAR(yt_sports_channels_stats[[#This Row],[Start Date]])&lt;2011,"Old Gen",IF(AND(YEAR(yt_sports_channels_stats[[#This Row],[Start Date]]&gt;2011),YEAR(yt_sports_channels_stats[[#This Row],[Start Date]])&lt;2020),"Mid Gen","New Gen"))</f>
        <v>New Gen</v>
      </c>
      <c r="E214">
        <v>110</v>
      </c>
      <c r="F214">
        <v>195545</v>
      </c>
      <c r="G214">
        <f>yt_sports_channels_stats[[#This Row],[view_count]]/yt_sports_channels_stats[[#This Row],[video_count]]</f>
        <v>1777.6818181818182</v>
      </c>
      <c r="H214" s="4">
        <f>yt_sports_channels_stats[[#This Row],[subscriber_count]]/yt_sports_channels_stats[[#This Row],[view_count]]</f>
        <v>3.5746247666777468E-2</v>
      </c>
      <c r="I214">
        <v>6990</v>
      </c>
    </row>
    <row r="215" spans="1:9" x14ac:dyDescent="0.25">
      <c r="A215" t="s">
        <v>478</v>
      </c>
      <c r="B215" s="1">
        <v>44634</v>
      </c>
      <c r="C215">
        <f>YEAR(yt_sports_channels_stats[[#This Row],[Start Date]])</f>
        <v>2022</v>
      </c>
      <c r="D215" s="1" t="str">
        <f>IF(YEAR(yt_sports_channels_stats[[#This Row],[Start Date]])&lt;2011,"Old Gen",IF(AND(YEAR(yt_sports_channels_stats[[#This Row],[Start Date]]&gt;2011),YEAR(yt_sports_channels_stats[[#This Row],[Start Date]])&lt;2020),"Mid Gen","New Gen"))</f>
        <v>New Gen</v>
      </c>
      <c r="E215">
        <v>2394</v>
      </c>
      <c r="F215">
        <v>84293238</v>
      </c>
      <c r="G215">
        <f>yt_sports_channels_stats[[#This Row],[view_count]]/yt_sports_channels_stats[[#This Row],[video_count]]</f>
        <v>35210.208020050122</v>
      </c>
      <c r="H215" s="4">
        <f>yt_sports_channels_stats[[#This Row],[subscriber_count]]/yt_sports_channels_stats[[#This Row],[view_count]]</f>
        <v>1.5066451712295119E-3</v>
      </c>
      <c r="I215">
        <v>127000</v>
      </c>
    </row>
    <row r="216" spans="1:9" x14ac:dyDescent="0.25">
      <c r="A216" t="s">
        <v>210</v>
      </c>
      <c r="B216" s="1">
        <v>43403</v>
      </c>
      <c r="C216">
        <f>YEAR(yt_sports_channels_stats[[#This Row],[Start Date]])</f>
        <v>2018</v>
      </c>
      <c r="D216" s="1" t="str">
        <f>IF(YEAR(yt_sports_channels_stats[[#This Row],[Start Date]])&lt;2011,"Old Gen",IF(AND(YEAR(yt_sports_channels_stats[[#This Row],[Start Date]]&gt;2011),YEAR(yt_sports_channels_stats[[#This Row],[Start Date]])&lt;2020),"Mid Gen","New Gen"))</f>
        <v>Mid Gen</v>
      </c>
      <c r="E216">
        <v>13312</v>
      </c>
      <c r="F216">
        <v>548241128</v>
      </c>
      <c r="G216">
        <f>yt_sports_channels_stats[[#This Row],[view_count]]/yt_sports_channels_stats[[#This Row],[video_count]]</f>
        <v>41183.978966346156</v>
      </c>
      <c r="H216" s="4">
        <f>yt_sports_channels_stats[[#This Row],[subscriber_count]]/yt_sports_channels_stats[[#This Row],[view_count]]</f>
        <v>1.1710175818841523E-3</v>
      </c>
      <c r="I216">
        <v>642000</v>
      </c>
    </row>
    <row r="217" spans="1:9" x14ac:dyDescent="0.25">
      <c r="A217" t="s">
        <v>211</v>
      </c>
      <c r="B217" s="1">
        <v>44950</v>
      </c>
      <c r="C217">
        <f>YEAR(yt_sports_channels_stats[[#This Row],[Start Date]])</f>
        <v>2023</v>
      </c>
      <c r="D217" s="1" t="str">
        <f>IF(YEAR(yt_sports_channels_stats[[#This Row],[Start Date]])&lt;2011,"Old Gen",IF(AND(YEAR(yt_sports_channels_stats[[#This Row],[Start Date]]&gt;2011),YEAR(yt_sports_channels_stats[[#This Row],[Start Date]])&lt;2020),"Mid Gen","New Gen"))</f>
        <v>New Gen</v>
      </c>
      <c r="E217">
        <v>384</v>
      </c>
      <c r="F217">
        <v>15126348</v>
      </c>
      <c r="G217">
        <f>yt_sports_channels_stats[[#This Row],[view_count]]/yt_sports_channels_stats[[#This Row],[video_count]]</f>
        <v>39391.53125</v>
      </c>
      <c r="H217" s="4">
        <f>yt_sports_channels_stats[[#This Row],[subscriber_count]]/yt_sports_channels_stats[[#This Row],[view_count]]</f>
        <v>2.6245594772776617E-3</v>
      </c>
      <c r="I217">
        <v>39700</v>
      </c>
    </row>
    <row r="218" spans="1:9" x14ac:dyDescent="0.25">
      <c r="A218" t="s">
        <v>212</v>
      </c>
      <c r="B218" s="1">
        <v>44448</v>
      </c>
      <c r="C218">
        <f>YEAR(yt_sports_channels_stats[[#This Row],[Start Date]])</f>
        <v>2021</v>
      </c>
      <c r="D218" s="1" t="str">
        <f>IF(YEAR(yt_sports_channels_stats[[#This Row],[Start Date]])&lt;2011,"Old Gen",IF(AND(YEAR(yt_sports_channels_stats[[#This Row],[Start Date]]&gt;2011),YEAR(yt_sports_channels_stats[[#This Row],[Start Date]])&lt;2020),"Mid Gen","New Gen"))</f>
        <v>New Gen</v>
      </c>
      <c r="E218">
        <v>8018</v>
      </c>
      <c r="F218">
        <v>12789832</v>
      </c>
      <c r="G218">
        <f>yt_sports_channels_stats[[#This Row],[view_count]]/yt_sports_channels_stats[[#This Row],[video_count]]</f>
        <v>1595.1399351459218</v>
      </c>
      <c r="H218" s="4">
        <f>yt_sports_channels_stats[[#This Row],[subscriber_count]]/yt_sports_channels_stats[[#This Row],[view_count]]</f>
        <v>1.9937713020780883E-3</v>
      </c>
      <c r="I218">
        <v>25500</v>
      </c>
    </row>
    <row r="219" spans="1:9" x14ac:dyDescent="0.25">
      <c r="A219" t="s">
        <v>213</v>
      </c>
      <c r="B219" s="1">
        <v>43226</v>
      </c>
      <c r="C219">
        <f>YEAR(yt_sports_channels_stats[[#This Row],[Start Date]])</f>
        <v>2018</v>
      </c>
      <c r="D219" s="1" t="str">
        <f>IF(YEAR(yt_sports_channels_stats[[#This Row],[Start Date]])&lt;2011,"Old Gen",IF(AND(YEAR(yt_sports_channels_stats[[#This Row],[Start Date]]&gt;2011),YEAR(yt_sports_channels_stats[[#This Row],[Start Date]])&lt;2020),"Mid Gen","New Gen"))</f>
        <v>Mid Gen</v>
      </c>
      <c r="E219">
        <v>18479</v>
      </c>
      <c r="F219">
        <v>233111816</v>
      </c>
      <c r="G219">
        <f>yt_sports_channels_stats[[#This Row],[view_count]]/yt_sports_channels_stats[[#This Row],[video_count]]</f>
        <v>12614.958385194004</v>
      </c>
      <c r="H219" s="4">
        <f>yt_sports_channels_stats[[#This Row],[subscriber_count]]/yt_sports_channels_stats[[#This Row],[view_count]]</f>
        <v>2.6854065604293522E-3</v>
      </c>
      <c r="I219">
        <v>626000</v>
      </c>
    </row>
    <row r="220" spans="1:9" x14ac:dyDescent="0.25">
      <c r="A220" t="s">
        <v>214</v>
      </c>
      <c r="B220" s="1">
        <v>41061</v>
      </c>
      <c r="C220">
        <f>YEAR(yt_sports_channels_stats[[#This Row],[Start Date]])</f>
        <v>2012</v>
      </c>
      <c r="D220" s="1" t="str">
        <f>IF(YEAR(yt_sports_channels_stats[[#This Row],[Start Date]])&lt;2011,"Old Gen",IF(AND(YEAR(yt_sports_channels_stats[[#This Row],[Start Date]]&gt;2011),YEAR(yt_sports_channels_stats[[#This Row],[Start Date]])&lt;2020),"Mid Gen","New Gen"))</f>
        <v>Mid Gen</v>
      </c>
      <c r="E220">
        <v>2945</v>
      </c>
      <c r="F220">
        <v>215146488</v>
      </c>
      <c r="G220">
        <f>yt_sports_channels_stats[[#This Row],[view_count]]/yt_sports_channels_stats[[#This Row],[video_count]]</f>
        <v>73054.834634974526</v>
      </c>
      <c r="H220" s="4">
        <f>yt_sports_channels_stats[[#This Row],[subscriber_count]]/yt_sports_channels_stats[[#This Row],[view_count]]</f>
        <v>2.6818936500604186E-3</v>
      </c>
      <c r="I220">
        <v>577000</v>
      </c>
    </row>
    <row r="221" spans="1:9" x14ac:dyDescent="0.25">
      <c r="A221" t="s">
        <v>215</v>
      </c>
      <c r="B221" s="1">
        <v>43511</v>
      </c>
      <c r="C221">
        <f>YEAR(yt_sports_channels_stats[[#This Row],[Start Date]])</f>
        <v>2019</v>
      </c>
      <c r="D221" s="1" t="str">
        <f>IF(YEAR(yt_sports_channels_stats[[#This Row],[Start Date]])&lt;2011,"Old Gen",IF(AND(YEAR(yt_sports_channels_stats[[#This Row],[Start Date]]&gt;2011),YEAR(yt_sports_channels_stats[[#This Row],[Start Date]])&lt;2020),"Mid Gen","New Gen"))</f>
        <v>Mid Gen</v>
      </c>
      <c r="E221">
        <v>1388</v>
      </c>
      <c r="F221">
        <v>16712164</v>
      </c>
      <c r="G221">
        <f>yt_sports_channels_stats[[#This Row],[view_count]]/yt_sports_channels_stats[[#This Row],[video_count]]</f>
        <v>12040.463976945244</v>
      </c>
      <c r="H221" s="4">
        <f>yt_sports_channels_stats[[#This Row],[subscriber_count]]/yt_sports_channels_stats[[#This Row],[view_count]]</f>
        <v>1.5976387019658257E-3</v>
      </c>
      <c r="I221">
        <v>26700</v>
      </c>
    </row>
    <row r="222" spans="1:9" x14ac:dyDescent="0.25">
      <c r="A222" t="s">
        <v>216</v>
      </c>
      <c r="B222" s="1">
        <v>43179</v>
      </c>
      <c r="C222">
        <f>YEAR(yt_sports_channels_stats[[#This Row],[Start Date]])</f>
        <v>2018</v>
      </c>
      <c r="D222" s="1" t="str">
        <f>IF(YEAR(yt_sports_channels_stats[[#This Row],[Start Date]])&lt;2011,"Old Gen",IF(AND(YEAR(yt_sports_channels_stats[[#This Row],[Start Date]]&gt;2011),YEAR(yt_sports_channels_stats[[#This Row],[Start Date]])&lt;2020),"Mid Gen","New Gen"))</f>
        <v>Mid Gen</v>
      </c>
      <c r="E222">
        <v>4400</v>
      </c>
      <c r="F222">
        <v>2806307</v>
      </c>
      <c r="G222">
        <f>yt_sports_channels_stats[[#This Row],[view_count]]/yt_sports_channels_stats[[#This Row],[video_count]]</f>
        <v>637.79704545454547</v>
      </c>
      <c r="H222" s="4">
        <f>yt_sports_channels_stats[[#This Row],[subscriber_count]]/yt_sports_channels_stats[[#This Row],[view_count]]</f>
        <v>3.2925834557658872E-3</v>
      </c>
      <c r="I222">
        <v>9240</v>
      </c>
    </row>
    <row r="223" spans="1:9" x14ac:dyDescent="0.25">
      <c r="A223" t="s">
        <v>217</v>
      </c>
      <c r="B223" s="1">
        <v>40024</v>
      </c>
      <c r="C223">
        <f>YEAR(yt_sports_channels_stats[[#This Row],[Start Date]])</f>
        <v>2009</v>
      </c>
      <c r="D223" s="1" t="str">
        <f>IF(YEAR(yt_sports_channels_stats[[#This Row],[Start Date]])&lt;2011,"Old Gen",IF(AND(YEAR(yt_sports_channels_stats[[#This Row],[Start Date]]&gt;2011),YEAR(yt_sports_channels_stats[[#This Row],[Start Date]])&lt;2020),"Mid Gen","New Gen"))</f>
        <v>Old Gen</v>
      </c>
      <c r="E223">
        <v>3045</v>
      </c>
      <c r="F223">
        <v>610508</v>
      </c>
      <c r="G223">
        <f>yt_sports_channels_stats[[#This Row],[view_count]]/yt_sports_channels_stats[[#This Row],[video_count]]</f>
        <v>200.49523809523811</v>
      </c>
      <c r="H223" s="4">
        <f>yt_sports_channels_stats[[#This Row],[subscriber_count]]/yt_sports_channels_stats[[#This Row],[view_count]]</f>
        <v>3.4725179686425074E-3</v>
      </c>
      <c r="I223">
        <v>2120</v>
      </c>
    </row>
    <row r="224" spans="1:9" x14ac:dyDescent="0.25">
      <c r="A224" t="s">
        <v>218</v>
      </c>
      <c r="B224" s="1">
        <v>40242</v>
      </c>
      <c r="C224">
        <f>YEAR(yt_sports_channels_stats[[#This Row],[Start Date]])</f>
        <v>2010</v>
      </c>
      <c r="D224" s="1" t="str">
        <f>IF(YEAR(yt_sports_channels_stats[[#This Row],[Start Date]])&lt;2011,"Old Gen",IF(AND(YEAR(yt_sports_channels_stats[[#This Row],[Start Date]]&gt;2011),YEAR(yt_sports_channels_stats[[#This Row],[Start Date]])&lt;2020),"Mid Gen","New Gen"))</f>
        <v>Old Gen</v>
      </c>
      <c r="E224">
        <v>6975</v>
      </c>
      <c r="F224">
        <v>793229817</v>
      </c>
      <c r="G224">
        <f>yt_sports_channels_stats[[#This Row],[view_count]]/yt_sports_channels_stats[[#This Row],[video_count]]</f>
        <v>113724.70494623655</v>
      </c>
      <c r="H224" s="4">
        <f>yt_sports_channels_stats[[#This Row],[subscriber_count]]/yt_sports_channels_stats[[#This Row],[view_count]]</f>
        <v>1.9414297937315184E-3</v>
      </c>
      <c r="I224">
        <v>1540000</v>
      </c>
    </row>
    <row r="225" spans="1:9" x14ac:dyDescent="0.25">
      <c r="A225" t="s">
        <v>219</v>
      </c>
      <c r="B225" s="1">
        <v>38793</v>
      </c>
      <c r="C225">
        <f>YEAR(yt_sports_channels_stats[[#This Row],[Start Date]])</f>
        <v>2006</v>
      </c>
      <c r="D225" s="1" t="str">
        <f>IF(YEAR(yt_sports_channels_stats[[#This Row],[Start Date]])&lt;2011,"Old Gen",IF(AND(YEAR(yt_sports_channels_stats[[#This Row],[Start Date]]&gt;2011),YEAR(yt_sports_channels_stats[[#This Row],[Start Date]])&lt;2020),"Mid Gen","New Gen"))</f>
        <v>Old Gen</v>
      </c>
      <c r="E225">
        <v>850</v>
      </c>
      <c r="F225">
        <v>131953339</v>
      </c>
      <c r="G225">
        <f>yt_sports_channels_stats[[#This Row],[view_count]]/yt_sports_channels_stats[[#This Row],[video_count]]</f>
        <v>155239.22235294117</v>
      </c>
      <c r="H225" s="4">
        <f>yt_sports_channels_stats[[#This Row],[subscriber_count]]/yt_sports_channels_stats[[#This Row],[view_count]]</f>
        <v>2.6448743369805899E-3</v>
      </c>
      <c r="I225">
        <v>349000</v>
      </c>
    </row>
    <row r="226" spans="1:9" x14ac:dyDescent="0.25">
      <c r="A226" t="s">
        <v>220</v>
      </c>
      <c r="B226" s="1">
        <v>41949</v>
      </c>
      <c r="C226">
        <f>YEAR(yt_sports_channels_stats[[#This Row],[Start Date]])</f>
        <v>2014</v>
      </c>
      <c r="D226" s="1" t="str">
        <f>IF(YEAR(yt_sports_channels_stats[[#This Row],[Start Date]])&lt;2011,"Old Gen",IF(AND(YEAR(yt_sports_channels_stats[[#This Row],[Start Date]]&gt;2011),YEAR(yt_sports_channels_stats[[#This Row],[Start Date]])&lt;2020),"Mid Gen","New Gen"))</f>
        <v>Mid Gen</v>
      </c>
      <c r="E226">
        <v>5804</v>
      </c>
      <c r="F226">
        <v>24242077</v>
      </c>
      <c r="G226">
        <f>yt_sports_channels_stats[[#This Row],[view_count]]/yt_sports_channels_stats[[#This Row],[video_count]]</f>
        <v>4176.7879048931773</v>
      </c>
      <c r="H226" s="4">
        <f>yt_sports_channels_stats[[#This Row],[subscriber_count]]/yt_sports_channels_stats[[#This Row],[view_count]]</f>
        <v>2.4214096836669566E-3</v>
      </c>
      <c r="I226">
        <v>58700</v>
      </c>
    </row>
    <row r="227" spans="1:9" x14ac:dyDescent="0.25">
      <c r="A227" t="s">
        <v>221</v>
      </c>
      <c r="B227" s="1">
        <v>44602</v>
      </c>
      <c r="C227">
        <f>YEAR(yt_sports_channels_stats[[#This Row],[Start Date]])</f>
        <v>2022</v>
      </c>
      <c r="D227" s="1" t="str">
        <f>IF(YEAR(yt_sports_channels_stats[[#This Row],[Start Date]])&lt;2011,"Old Gen",IF(AND(YEAR(yt_sports_channels_stats[[#This Row],[Start Date]]&gt;2011),YEAR(yt_sports_channels_stats[[#This Row],[Start Date]])&lt;2020),"Mid Gen","New Gen"))</f>
        <v>New Gen</v>
      </c>
      <c r="E227">
        <v>225</v>
      </c>
      <c r="F227">
        <v>3792796</v>
      </c>
      <c r="G227">
        <f>yt_sports_channels_stats[[#This Row],[view_count]]/yt_sports_channels_stats[[#This Row],[video_count]]</f>
        <v>16856.871111111112</v>
      </c>
      <c r="H227" s="4">
        <f>yt_sports_channels_stats[[#This Row],[subscriber_count]]/yt_sports_channels_stats[[#This Row],[view_count]]</f>
        <v>6.2223225293424689E-3</v>
      </c>
      <c r="I227">
        <v>23600</v>
      </c>
    </row>
    <row r="228" spans="1:9" x14ac:dyDescent="0.25">
      <c r="A228" t="s">
        <v>222</v>
      </c>
      <c r="B228" s="1">
        <v>45207</v>
      </c>
      <c r="C228">
        <f>YEAR(yt_sports_channels_stats[[#This Row],[Start Date]])</f>
        <v>2023</v>
      </c>
      <c r="D228" s="1" t="str">
        <f>IF(YEAR(yt_sports_channels_stats[[#This Row],[Start Date]])&lt;2011,"Old Gen",IF(AND(YEAR(yt_sports_channels_stats[[#This Row],[Start Date]]&gt;2011),YEAR(yt_sports_channels_stats[[#This Row],[Start Date]])&lt;2020),"Mid Gen","New Gen"))</f>
        <v>New Gen</v>
      </c>
      <c r="E228">
        <v>639</v>
      </c>
      <c r="F228">
        <v>1949513</v>
      </c>
      <c r="G228">
        <f>yt_sports_channels_stats[[#This Row],[view_count]]/yt_sports_channels_stats[[#This Row],[video_count]]</f>
        <v>3050.8810641627542</v>
      </c>
      <c r="H228" s="4">
        <f>yt_sports_channels_stats[[#This Row],[subscriber_count]]/yt_sports_channels_stats[[#This Row],[view_count]]</f>
        <v>7.0786909346077708E-3</v>
      </c>
      <c r="I228">
        <v>13800</v>
      </c>
    </row>
    <row r="229" spans="1:9" x14ac:dyDescent="0.25">
      <c r="A229" t="s">
        <v>223</v>
      </c>
      <c r="B229" s="1">
        <v>42763</v>
      </c>
      <c r="C229">
        <f>YEAR(yt_sports_channels_stats[[#This Row],[Start Date]])</f>
        <v>2017</v>
      </c>
      <c r="D229" s="1" t="str">
        <f>IF(YEAR(yt_sports_channels_stats[[#This Row],[Start Date]])&lt;2011,"Old Gen",IF(AND(YEAR(yt_sports_channels_stats[[#This Row],[Start Date]]&gt;2011),YEAR(yt_sports_channels_stats[[#This Row],[Start Date]])&lt;2020),"Mid Gen","New Gen"))</f>
        <v>Mid Gen</v>
      </c>
      <c r="E229">
        <v>34</v>
      </c>
      <c r="F229">
        <v>310656</v>
      </c>
      <c r="G229">
        <f>yt_sports_channels_stats[[#This Row],[view_count]]/yt_sports_channels_stats[[#This Row],[video_count]]</f>
        <v>9136.9411764705874</v>
      </c>
      <c r="H229" s="4">
        <f>yt_sports_channels_stats[[#This Row],[subscriber_count]]/yt_sports_channels_stats[[#This Row],[view_count]]</f>
        <v>7.4680675731355582E-3</v>
      </c>
      <c r="I229">
        <v>2320</v>
      </c>
    </row>
    <row r="230" spans="1:9" x14ac:dyDescent="0.25">
      <c r="A230" t="s">
        <v>224</v>
      </c>
      <c r="B230" s="1">
        <v>44260</v>
      </c>
      <c r="C230">
        <f>YEAR(yt_sports_channels_stats[[#This Row],[Start Date]])</f>
        <v>2021</v>
      </c>
      <c r="D230" s="1" t="str">
        <f>IF(YEAR(yt_sports_channels_stats[[#This Row],[Start Date]])&lt;2011,"Old Gen",IF(AND(YEAR(yt_sports_channels_stats[[#This Row],[Start Date]]&gt;2011),YEAR(yt_sports_channels_stats[[#This Row],[Start Date]])&lt;2020),"Mid Gen","New Gen"))</f>
        <v>New Gen</v>
      </c>
      <c r="E230">
        <v>14441</v>
      </c>
      <c r="F230">
        <v>618521700</v>
      </c>
      <c r="G230">
        <f>yt_sports_channels_stats[[#This Row],[view_count]]/yt_sports_channels_stats[[#This Row],[video_count]]</f>
        <v>42830.946610345542</v>
      </c>
      <c r="H230" s="4">
        <f>yt_sports_channels_stats[[#This Row],[subscriber_count]]/yt_sports_channels_stats[[#This Row],[view_count]]</f>
        <v>1.340292507118182E-3</v>
      </c>
      <c r="I230">
        <v>829000</v>
      </c>
    </row>
    <row r="231" spans="1:9" x14ac:dyDescent="0.25">
      <c r="A231" t="s">
        <v>225</v>
      </c>
      <c r="B231" s="1">
        <v>39832</v>
      </c>
      <c r="C231">
        <f>YEAR(yt_sports_channels_stats[[#This Row],[Start Date]])</f>
        <v>2009</v>
      </c>
      <c r="D231" s="1" t="str">
        <f>IF(YEAR(yt_sports_channels_stats[[#This Row],[Start Date]])&lt;2011,"Old Gen",IF(AND(YEAR(yt_sports_channels_stats[[#This Row],[Start Date]]&gt;2011),YEAR(yt_sports_channels_stats[[#This Row],[Start Date]])&lt;2020),"Mid Gen","New Gen"))</f>
        <v>Old Gen</v>
      </c>
      <c r="E231">
        <v>24188</v>
      </c>
      <c r="F231">
        <v>569180003</v>
      </c>
      <c r="G231">
        <f>yt_sports_channels_stats[[#This Row],[view_count]]/yt_sports_channels_stats[[#This Row],[video_count]]</f>
        <v>23531.503348767983</v>
      </c>
      <c r="H231" s="4">
        <f>yt_sports_channels_stats[[#This Row],[subscriber_count]]/yt_sports_channels_stats[[#This Row],[view_count]]</f>
        <v>2.7934923778409693E-3</v>
      </c>
      <c r="I231">
        <v>1590000</v>
      </c>
    </row>
    <row r="232" spans="1:9" x14ac:dyDescent="0.25">
      <c r="A232" t="s">
        <v>226</v>
      </c>
      <c r="B232" s="1">
        <v>43933</v>
      </c>
      <c r="C232">
        <f>YEAR(yt_sports_channels_stats[[#This Row],[Start Date]])</f>
        <v>2020</v>
      </c>
      <c r="D232" s="1" t="str">
        <f>IF(YEAR(yt_sports_channels_stats[[#This Row],[Start Date]])&lt;2011,"Old Gen",IF(AND(YEAR(yt_sports_channels_stats[[#This Row],[Start Date]]&gt;2011),YEAR(yt_sports_channels_stats[[#This Row],[Start Date]])&lt;2020),"Mid Gen","New Gen"))</f>
        <v>New Gen</v>
      </c>
      <c r="E232">
        <v>690</v>
      </c>
      <c r="F232">
        <v>747985</v>
      </c>
      <c r="G232">
        <f>yt_sports_channels_stats[[#This Row],[view_count]]/yt_sports_channels_stats[[#This Row],[video_count]]</f>
        <v>1084.036231884058</v>
      </c>
      <c r="H232" s="4">
        <f>yt_sports_channels_stats[[#This Row],[subscriber_count]]/yt_sports_channels_stats[[#This Row],[view_count]]</f>
        <v>8.5696905686611369E-3</v>
      </c>
      <c r="I232">
        <v>6410</v>
      </c>
    </row>
    <row r="233" spans="1:9" x14ac:dyDescent="0.25">
      <c r="A233" t="s">
        <v>227</v>
      </c>
      <c r="B233" s="1">
        <v>39101</v>
      </c>
      <c r="C233">
        <f>YEAR(yt_sports_channels_stats[[#This Row],[Start Date]])</f>
        <v>2007</v>
      </c>
      <c r="D233" s="1" t="str">
        <f>IF(YEAR(yt_sports_channels_stats[[#This Row],[Start Date]])&lt;2011,"Old Gen",IF(AND(YEAR(yt_sports_channels_stats[[#This Row],[Start Date]]&gt;2011),YEAR(yt_sports_channels_stats[[#This Row],[Start Date]])&lt;2020),"Mid Gen","New Gen"))</f>
        <v>Old Gen</v>
      </c>
      <c r="E233">
        <v>1082</v>
      </c>
      <c r="F233">
        <v>11360917</v>
      </c>
      <c r="G233">
        <f>yt_sports_channels_stats[[#This Row],[view_count]]/yt_sports_channels_stats[[#This Row],[video_count]]</f>
        <v>10499.923290203327</v>
      </c>
      <c r="H233" s="4">
        <f>yt_sports_channels_stats[[#This Row],[subscriber_count]]/yt_sports_channels_stats[[#This Row],[view_count]]</f>
        <v>3.9257394451521826E-3</v>
      </c>
      <c r="I233">
        <v>44600</v>
      </c>
    </row>
    <row r="234" spans="1:9" x14ac:dyDescent="0.25">
      <c r="A234" t="s">
        <v>228</v>
      </c>
      <c r="B234" s="1">
        <v>44393</v>
      </c>
      <c r="C234">
        <f>YEAR(yt_sports_channels_stats[[#This Row],[Start Date]])</f>
        <v>2021</v>
      </c>
      <c r="D234" s="1" t="str">
        <f>IF(YEAR(yt_sports_channels_stats[[#This Row],[Start Date]])&lt;2011,"Old Gen",IF(AND(YEAR(yt_sports_channels_stats[[#This Row],[Start Date]]&gt;2011),YEAR(yt_sports_channels_stats[[#This Row],[Start Date]])&lt;2020),"Mid Gen","New Gen"))</f>
        <v>New Gen</v>
      </c>
      <c r="E234">
        <v>804</v>
      </c>
      <c r="F234">
        <v>9121664</v>
      </c>
      <c r="G234">
        <f>yt_sports_channels_stats[[#This Row],[view_count]]/yt_sports_channels_stats[[#This Row],[video_count]]</f>
        <v>11345.353233830845</v>
      </c>
      <c r="H234" s="4">
        <f>yt_sports_channels_stats[[#This Row],[subscriber_count]]/yt_sports_channels_stats[[#This Row],[view_count]]</f>
        <v>3.93568541880078E-3</v>
      </c>
      <c r="I234">
        <v>35900</v>
      </c>
    </row>
    <row r="235" spans="1:9" x14ac:dyDescent="0.25">
      <c r="A235" t="s">
        <v>229</v>
      </c>
      <c r="B235" s="1">
        <v>43531</v>
      </c>
      <c r="C235">
        <f>YEAR(yt_sports_channels_stats[[#This Row],[Start Date]])</f>
        <v>2019</v>
      </c>
      <c r="D235" s="1" t="str">
        <f>IF(YEAR(yt_sports_channels_stats[[#This Row],[Start Date]])&lt;2011,"Old Gen",IF(AND(YEAR(yt_sports_channels_stats[[#This Row],[Start Date]]&gt;2011),YEAR(yt_sports_channels_stats[[#This Row],[Start Date]])&lt;2020),"Mid Gen","New Gen"))</f>
        <v>Mid Gen</v>
      </c>
      <c r="E235">
        <v>973</v>
      </c>
      <c r="F235">
        <v>15320661</v>
      </c>
      <c r="G235">
        <f>yt_sports_channels_stats[[#This Row],[view_count]]/yt_sports_channels_stats[[#This Row],[video_count]]</f>
        <v>15745.79753340185</v>
      </c>
      <c r="H235" s="4">
        <f>yt_sports_channels_stats[[#This Row],[subscriber_count]]/yt_sports_channels_stats[[#This Row],[view_count]]</f>
        <v>2.1408997953808913E-3</v>
      </c>
      <c r="I235">
        <v>32800</v>
      </c>
    </row>
    <row r="236" spans="1:9" x14ac:dyDescent="0.25">
      <c r="A236" t="s">
        <v>230</v>
      </c>
      <c r="B236" s="1">
        <v>41199</v>
      </c>
      <c r="C236">
        <f>YEAR(yt_sports_channels_stats[[#This Row],[Start Date]])</f>
        <v>2012</v>
      </c>
      <c r="D236" s="1" t="str">
        <f>IF(YEAR(yt_sports_channels_stats[[#This Row],[Start Date]])&lt;2011,"Old Gen",IF(AND(YEAR(yt_sports_channels_stats[[#This Row],[Start Date]]&gt;2011),YEAR(yt_sports_channels_stats[[#This Row],[Start Date]])&lt;2020),"Mid Gen","New Gen"))</f>
        <v>Mid Gen</v>
      </c>
      <c r="E236">
        <v>5204</v>
      </c>
      <c r="F236">
        <v>11974268</v>
      </c>
      <c r="G236">
        <f>yt_sports_channels_stats[[#This Row],[view_count]]/yt_sports_channels_stats[[#This Row],[video_count]]</f>
        <v>2300.9738662567256</v>
      </c>
      <c r="H236" s="4">
        <f>yt_sports_channels_stats[[#This Row],[subscriber_count]]/yt_sports_channels_stats[[#This Row],[view_count]]</f>
        <v>1.6034383062079453E-3</v>
      </c>
      <c r="I236">
        <v>19200</v>
      </c>
    </row>
    <row r="237" spans="1:9" x14ac:dyDescent="0.25">
      <c r="A237" t="s">
        <v>231</v>
      </c>
      <c r="B237" s="1">
        <v>43965</v>
      </c>
      <c r="C237">
        <f>YEAR(yt_sports_channels_stats[[#This Row],[Start Date]])</f>
        <v>2020</v>
      </c>
      <c r="D237" s="1" t="str">
        <f>IF(YEAR(yt_sports_channels_stats[[#This Row],[Start Date]])&lt;2011,"Old Gen",IF(AND(YEAR(yt_sports_channels_stats[[#This Row],[Start Date]]&gt;2011),YEAR(yt_sports_channels_stats[[#This Row],[Start Date]])&lt;2020),"Mid Gen","New Gen"))</f>
        <v>New Gen</v>
      </c>
      <c r="E237">
        <v>1059</v>
      </c>
      <c r="F237">
        <v>26787045</v>
      </c>
      <c r="G237">
        <f>yt_sports_channels_stats[[#This Row],[view_count]]/yt_sports_channels_stats[[#This Row],[video_count]]</f>
        <v>25294.660056657223</v>
      </c>
      <c r="H237" s="4">
        <f>yt_sports_channels_stats[[#This Row],[subscriber_count]]/yt_sports_channels_stats[[#This Row],[view_count]]</f>
        <v>6.831660603101238E-3</v>
      </c>
      <c r="I237">
        <v>183000</v>
      </c>
    </row>
    <row r="238" spans="1:9" x14ac:dyDescent="0.25">
      <c r="A238" t="s">
        <v>232</v>
      </c>
      <c r="B238" s="1">
        <v>41760</v>
      </c>
      <c r="C238">
        <f>YEAR(yt_sports_channels_stats[[#This Row],[Start Date]])</f>
        <v>2014</v>
      </c>
      <c r="D238" s="1" t="str">
        <f>IF(YEAR(yt_sports_channels_stats[[#This Row],[Start Date]])&lt;2011,"Old Gen",IF(AND(YEAR(yt_sports_channels_stats[[#This Row],[Start Date]]&gt;2011),YEAR(yt_sports_channels_stats[[#This Row],[Start Date]])&lt;2020),"Mid Gen","New Gen"))</f>
        <v>Mid Gen</v>
      </c>
      <c r="E238">
        <v>15000</v>
      </c>
      <c r="F238">
        <v>25211805</v>
      </c>
      <c r="G238">
        <f>yt_sports_channels_stats[[#This Row],[view_count]]/yt_sports_channels_stats[[#This Row],[video_count]]</f>
        <v>1680.787</v>
      </c>
      <c r="H238" s="4">
        <f>yt_sports_channels_stats[[#This Row],[subscriber_count]]/yt_sports_channels_stats[[#This Row],[view_count]]</f>
        <v>1.3763393775257265E-3</v>
      </c>
      <c r="I238">
        <v>34700</v>
      </c>
    </row>
    <row r="239" spans="1:9" x14ac:dyDescent="0.25">
      <c r="A239" t="s">
        <v>233</v>
      </c>
      <c r="B239" s="1">
        <v>43255</v>
      </c>
      <c r="C239">
        <f>YEAR(yt_sports_channels_stats[[#This Row],[Start Date]])</f>
        <v>2018</v>
      </c>
      <c r="D239" s="1" t="str">
        <f>IF(YEAR(yt_sports_channels_stats[[#This Row],[Start Date]])&lt;2011,"Old Gen",IF(AND(YEAR(yt_sports_channels_stats[[#This Row],[Start Date]]&gt;2011),YEAR(yt_sports_channels_stats[[#This Row],[Start Date]])&lt;2020),"Mid Gen","New Gen"))</f>
        <v>Mid Gen</v>
      </c>
      <c r="E239">
        <v>2904</v>
      </c>
      <c r="F239">
        <v>71214529</v>
      </c>
      <c r="G239">
        <f>yt_sports_channels_stats[[#This Row],[view_count]]/yt_sports_channels_stats[[#This Row],[video_count]]</f>
        <v>24522.909435261707</v>
      </c>
      <c r="H239" s="4">
        <f>yt_sports_channels_stats[[#This Row],[subscriber_count]]/yt_sports_channels_stats[[#This Row],[view_count]]</f>
        <v>2.5977845054623613E-3</v>
      </c>
      <c r="I239">
        <v>185000</v>
      </c>
    </row>
    <row r="240" spans="1:9" x14ac:dyDescent="0.25">
      <c r="A240" t="s">
        <v>234</v>
      </c>
      <c r="B240" s="1">
        <v>43021</v>
      </c>
      <c r="C240">
        <f>YEAR(yt_sports_channels_stats[[#This Row],[Start Date]])</f>
        <v>2017</v>
      </c>
      <c r="D240" s="1" t="str">
        <f>IF(YEAR(yt_sports_channels_stats[[#This Row],[Start Date]])&lt;2011,"Old Gen",IF(AND(YEAR(yt_sports_channels_stats[[#This Row],[Start Date]]&gt;2011),YEAR(yt_sports_channels_stats[[#This Row],[Start Date]])&lt;2020),"Mid Gen","New Gen"))</f>
        <v>Mid Gen</v>
      </c>
      <c r="E240">
        <v>7622</v>
      </c>
      <c r="F240">
        <v>6072915</v>
      </c>
      <c r="G240">
        <f>yt_sports_channels_stats[[#This Row],[view_count]]/yt_sports_channels_stats[[#This Row],[video_count]]</f>
        <v>796.76134872736816</v>
      </c>
      <c r="H240" s="4">
        <f>yt_sports_channels_stats[[#This Row],[subscriber_count]]/yt_sports_channels_stats[[#This Row],[view_count]]</f>
        <v>2.2394517295236307E-3</v>
      </c>
      <c r="I240">
        <v>13600</v>
      </c>
    </row>
    <row r="241" spans="1:9" x14ac:dyDescent="0.25">
      <c r="A241" t="s">
        <v>235</v>
      </c>
      <c r="B241" s="1">
        <v>45177</v>
      </c>
      <c r="C241">
        <f>YEAR(yt_sports_channels_stats[[#This Row],[Start Date]])</f>
        <v>2023</v>
      </c>
      <c r="D241" s="1" t="str">
        <f>IF(YEAR(yt_sports_channels_stats[[#This Row],[Start Date]])&lt;2011,"Old Gen",IF(AND(YEAR(yt_sports_channels_stats[[#This Row],[Start Date]]&gt;2011),YEAR(yt_sports_channels_stats[[#This Row],[Start Date]])&lt;2020),"Mid Gen","New Gen"))</f>
        <v>New Gen</v>
      </c>
      <c r="E241">
        <v>524</v>
      </c>
      <c r="F241">
        <v>3253868</v>
      </c>
      <c r="G241">
        <f>yt_sports_channels_stats[[#This Row],[view_count]]/yt_sports_channels_stats[[#This Row],[video_count]]</f>
        <v>6209.6717557251905</v>
      </c>
      <c r="H241" s="4">
        <f>yt_sports_channels_stats[[#This Row],[subscriber_count]]/yt_sports_channels_stats[[#This Row],[view_count]]</f>
        <v>8.0212227416723725E-3</v>
      </c>
      <c r="I241">
        <v>26100</v>
      </c>
    </row>
    <row r="242" spans="1:9" x14ac:dyDescent="0.25">
      <c r="A242" t="s">
        <v>236</v>
      </c>
      <c r="B242" s="1">
        <v>43836</v>
      </c>
      <c r="C242">
        <f>YEAR(yt_sports_channels_stats[[#This Row],[Start Date]])</f>
        <v>2020</v>
      </c>
      <c r="D242" s="1" t="str">
        <f>IF(YEAR(yt_sports_channels_stats[[#This Row],[Start Date]])&lt;2011,"Old Gen",IF(AND(YEAR(yt_sports_channels_stats[[#This Row],[Start Date]]&gt;2011),YEAR(yt_sports_channels_stats[[#This Row],[Start Date]])&lt;2020),"Mid Gen","New Gen"))</f>
        <v>New Gen</v>
      </c>
      <c r="E242">
        <v>2138</v>
      </c>
      <c r="F242">
        <v>33907572</v>
      </c>
      <c r="G242">
        <f>yt_sports_channels_stats[[#This Row],[view_count]]/yt_sports_channels_stats[[#This Row],[video_count]]</f>
        <v>15859.481758652946</v>
      </c>
      <c r="H242" s="4">
        <f>yt_sports_channels_stats[[#This Row],[subscriber_count]]/yt_sports_channels_stats[[#This Row],[view_count]]</f>
        <v>2.610036483886254E-3</v>
      </c>
      <c r="I242">
        <v>88500</v>
      </c>
    </row>
    <row r="243" spans="1:9" x14ac:dyDescent="0.25">
      <c r="A243" t="s">
        <v>237</v>
      </c>
      <c r="B243" s="1">
        <v>44570</v>
      </c>
      <c r="C243">
        <f>YEAR(yt_sports_channels_stats[[#This Row],[Start Date]])</f>
        <v>2022</v>
      </c>
      <c r="D243" s="1" t="str">
        <f>IF(YEAR(yt_sports_channels_stats[[#This Row],[Start Date]])&lt;2011,"Old Gen",IF(AND(YEAR(yt_sports_channels_stats[[#This Row],[Start Date]]&gt;2011),YEAR(yt_sports_channels_stats[[#This Row],[Start Date]])&lt;2020),"Mid Gen","New Gen"))</f>
        <v>New Gen</v>
      </c>
      <c r="E243">
        <v>299</v>
      </c>
      <c r="F243">
        <v>125266</v>
      </c>
      <c r="G243">
        <f>yt_sports_channels_stats[[#This Row],[view_count]]/yt_sports_channels_stats[[#This Row],[video_count]]</f>
        <v>418.94983277591973</v>
      </c>
      <c r="H243" s="4">
        <f>yt_sports_channels_stats[[#This Row],[subscriber_count]]/yt_sports_channels_stats[[#This Row],[view_count]]</f>
        <v>1.3171970047738412E-2</v>
      </c>
      <c r="I243">
        <v>1650</v>
      </c>
    </row>
    <row r="244" spans="1:9" x14ac:dyDescent="0.25">
      <c r="A244" t="s">
        <v>238</v>
      </c>
      <c r="B244" s="1">
        <v>43789</v>
      </c>
      <c r="C244">
        <f>YEAR(yt_sports_channels_stats[[#This Row],[Start Date]])</f>
        <v>2019</v>
      </c>
      <c r="D244" s="1" t="str">
        <f>IF(YEAR(yt_sports_channels_stats[[#This Row],[Start Date]])&lt;2011,"Old Gen",IF(AND(YEAR(yt_sports_channels_stats[[#This Row],[Start Date]]&gt;2011),YEAR(yt_sports_channels_stats[[#This Row],[Start Date]])&lt;2020),"Mid Gen","New Gen"))</f>
        <v>Mid Gen</v>
      </c>
      <c r="E244">
        <v>118</v>
      </c>
      <c r="F244">
        <v>89078386</v>
      </c>
      <c r="G244">
        <f>yt_sports_channels_stats[[#This Row],[view_count]]/yt_sports_channels_stats[[#This Row],[video_count]]</f>
        <v>754901.57627118647</v>
      </c>
      <c r="H244" s="4">
        <f>yt_sports_channels_stats[[#This Row],[subscriber_count]]/yt_sports_channels_stats[[#This Row],[view_count]]</f>
        <v>7.6112739626871999E-3</v>
      </c>
      <c r="I244">
        <v>678000</v>
      </c>
    </row>
    <row r="245" spans="1:9" x14ac:dyDescent="0.25">
      <c r="A245" t="s">
        <v>112</v>
      </c>
      <c r="B245" s="1">
        <v>42412</v>
      </c>
      <c r="C245">
        <f>YEAR(yt_sports_channels_stats[[#This Row],[Start Date]])</f>
        <v>2016</v>
      </c>
      <c r="D245" s="1" t="str">
        <f>IF(YEAR(yt_sports_channels_stats[[#This Row],[Start Date]])&lt;2011,"Old Gen",IF(AND(YEAR(yt_sports_channels_stats[[#This Row],[Start Date]]&gt;2011),YEAR(yt_sports_channels_stats[[#This Row],[Start Date]])&lt;2020),"Mid Gen","New Gen"))</f>
        <v>Mid Gen</v>
      </c>
      <c r="E245">
        <v>15692</v>
      </c>
      <c r="F245">
        <v>5473049</v>
      </c>
      <c r="G245">
        <f>yt_sports_channels_stats[[#This Row],[view_count]]/yt_sports_channels_stats[[#This Row],[video_count]]</f>
        <v>348.77956920723938</v>
      </c>
      <c r="H245" s="4">
        <f>yt_sports_channels_stats[[#This Row],[subscriber_count]]/yt_sports_channels_stats[[#This Row],[view_count]]</f>
        <v>1.0761825812266618E-3</v>
      </c>
      <c r="I245">
        <v>5890</v>
      </c>
    </row>
    <row r="246" spans="1:9" x14ac:dyDescent="0.25">
      <c r="A246" t="s">
        <v>239</v>
      </c>
      <c r="B246" s="1">
        <v>44694</v>
      </c>
      <c r="C246">
        <f>YEAR(yt_sports_channels_stats[[#This Row],[Start Date]])</f>
        <v>2022</v>
      </c>
      <c r="D246" s="1" t="str">
        <f>IF(YEAR(yt_sports_channels_stats[[#This Row],[Start Date]])&lt;2011,"Old Gen",IF(AND(YEAR(yt_sports_channels_stats[[#This Row],[Start Date]]&gt;2011),YEAR(yt_sports_channels_stats[[#This Row],[Start Date]])&lt;2020),"Mid Gen","New Gen"))</f>
        <v>New Gen</v>
      </c>
      <c r="E246">
        <v>577</v>
      </c>
      <c r="F246">
        <v>801929</v>
      </c>
      <c r="G246">
        <f>yt_sports_channels_stats[[#This Row],[view_count]]/yt_sports_channels_stats[[#This Row],[video_count]]</f>
        <v>1389.8249566724437</v>
      </c>
      <c r="H246" s="4">
        <f>yt_sports_channels_stats[[#This Row],[subscriber_count]]/yt_sports_channels_stats[[#This Row],[view_count]]</f>
        <v>5.3994805026380144E-3</v>
      </c>
      <c r="I246">
        <v>4330</v>
      </c>
    </row>
    <row r="247" spans="1:9" x14ac:dyDescent="0.25">
      <c r="A247" t="s">
        <v>240</v>
      </c>
      <c r="B247" s="1">
        <v>42885</v>
      </c>
      <c r="C247">
        <f>YEAR(yt_sports_channels_stats[[#This Row],[Start Date]])</f>
        <v>2017</v>
      </c>
      <c r="D247" s="1" t="str">
        <f>IF(YEAR(yt_sports_channels_stats[[#This Row],[Start Date]])&lt;2011,"Old Gen",IF(AND(YEAR(yt_sports_channels_stats[[#This Row],[Start Date]]&gt;2011),YEAR(yt_sports_channels_stats[[#This Row],[Start Date]])&lt;2020),"Mid Gen","New Gen"))</f>
        <v>Mid Gen</v>
      </c>
      <c r="E247">
        <v>530</v>
      </c>
      <c r="F247">
        <v>46373440</v>
      </c>
      <c r="G247">
        <f>yt_sports_channels_stats[[#This Row],[view_count]]/yt_sports_channels_stats[[#This Row],[video_count]]</f>
        <v>87497.056603773584</v>
      </c>
      <c r="H247" s="4">
        <f>yt_sports_channels_stats[[#This Row],[subscriber_count]]/yt_sports_channels_stats[[#This Row],[view_count]]</f>
        <v>3.2777382915737973E-3</v>
      </c>
      <c r="I247">
        <v>152000</v>
      </c>
    </row>
    <row r="248" spans="1:9" x14ac:dyDescent="0.25">
      <c r="A248" t="s">
        <v>241</v>
      </c>
      <c r="B248" s="1">
        <v>40791</v>
      </c>
      <c r="C248">
        <f>YEAR(yt_sports_channels_stats[[#This Row],[Start Date]])</f>
        <v>2011</v>
      </c>
      <c r="D248" s="1" t="str">
        <f>IF(YEAR(yt_sports_channels_stats[[#This Row],[Start Date]])&lt;2011,"Old Gen",IF(AND(YEAR(yt_sports_channels_stats[[#This Row],[Start Date]]&gt;2011),YEAR(yt_sports_channels_stats[[#This Row],[Start Date]])&lt;2020),"Mid Gen","New Gen"))</f>
        <v>Mid Gen</v>
      </c>
      <c r="E248">
        <v>413</v>
      </c>
      <c r="F248">
        <v>11786470</v>
      </c>
      <c r="G248">
        <f>yt_sports_channels_stats[[#This Row],[view_count]]/yt_sports_channels_stats[[#This Row],[video_count]]</f>
        <v>28538.668280871672</v>
      </c>
      <c r="H248" s="4">
        <f>yt_sports_channels_stats[[#This Row],[subscriber_count]]/yt_sports_channels_stats[[#This Row],[view_count]]</f>
        <v>6.8722866133795781E-3</v>
      </c>
      <c r="I248">
        <v>81000</v>
      </c>
    </row>
    <row r="249" spans="1:9" x14ac:dyDescent="0.25">
      <c r="A249" t="s">
        <v>242</v>
      </c>
      <c r="B249" s="1">
        <v>45263</v>
      </c>
      <c r="C249">
        <f>YEAR(yt_sports_channels_stats[[#This Row],[Start Date]])</f>
        <v>2023</v>
      </c>
      <c r="D249" s="1" t="str">
        <f>IF(YEAR(yt_sports_channels_stats[[#This Row],[Start Date]])&lt;2011,"Old Gen",IF(AND(YEAR(yt_sports_channels_stats[[#This Row],[Start Date]]&gt;2011),YEAR(yt_sports_channels_stats[[#This Row],[Start Date]])&lt;2020),"Mid Gen","New Gen"))</f>
        <v>New Gen</v>
      </c>
      <c r="E249">
        <v>22</v>
      </c>
      <c r="F249">
        <v>39824</v>
      </c>
      <c r="G249">
        <f>yt_sports_channels_stats[[#This Row],[view_count]]/yt_sports_channels_stats[[#This Row],[video_count]]</f>
        <v>1810.1818181818182</v>
      </c>
      <c r="H249" s="4">
        <f>yt_sports_channels_stats[[#This Row],[subscriber_count]]/yt_sports_channels_stats[[#This Row],[view_count]]</f>
        <v>4.5952189634391322E-3</v>
      </c>
      <c r="I249">
        <v>183</v>
      </c>
    </row>
    <row r="250" spans="1:9" x14ac:dyDescent="0.25">
      <c r="A250" t="s">
        <v>243</v>
      </c>
      <c r="B250" s="1">
        <v>43983</v>
      </c>
      <c r="C250">
        <f>YEAR(yt_sports_channels_stats[[#This Row],[Start Date]])</f>
        <v>2020</v>
      </c>
      <c r="D250" s="1" t="str">
        <f>IF(YEAR(yt_sports_channels_stats[[#This Row],[Start Date]])&lt;2011,"Old Gen",IF(AND(YEAR(yt_sports_channels_stats[[#This Row],[Start Date]]&gt;2011),YEAR(yt_sports_channels_stats[[#This Row],[Start Date]])&lt;2020),"Mid Gen","New Gen"))</f>
        <v>New Gen</v>
      </c>
      <c r="E250">
        <v>1124</v>
      </c>
      <c r="F250">
        <v>10264363</v>
      </c>
      <c r="G250">
        <f>yt_sports_channels_stats[[#This Row],[view_count]]/yt_sports_channels_stats[[#This Row],[video_count]]</f>
        <v>9131.9955516014234</v>
      </c>
      <c r="H250" s="4">
        <f>yt_sports_channels_stats[[#This Row],[subscriber_count]]/yt_sports_channels_stats[[#This Row],[view_count]]</f>
        <v>4.5984344084479475E-3</v>
      </c>
      <c r="I250">
        <v>47200</v>
      </c>
    </row>
    <row r="251" spans="1:9" x14ac:dyDescent="0.25">
      <c r="A251" t="s">
        <v>214</v>
      </c>
      <c r="B251" s="1">
        <v>41061</v>
      </c>
      <c r="C251">
        <f>YEAR(yt_sports_channels_stats[[#This Row],[Start Date]])</f>
        <v>2012</v>
      </c>
      <c r="D251" s="1" t="str">
        <f>IF(YEAR(yt_sports_channels_stats[[#This Row],[Start Date]])&lt;2011,"Old Gen",IF(AND(YEAR(yt_sports_channels_stats[[#This Row],[Start Date]]&gt;2011),YEAR(yt_sports_channels_stats[[#This Row],[Start Date]])&lt;2020),"Mid Gen","New Gen"))</f>
        <v>Mid Gen</v>
      </c>
      <c r="E251">
        <v>2945</v>
      </c>
      <c r="F251">
        <v>215146488</v>
      </c>
      <c r="G251">
        <f>yt_sports_channels_stats[[#This Row],[view_count]]/yt_sports_channels_stats[[#This Row],[video_count]]</f>
        <v>73054.834634974526</v>
      </c>
      <c r="H251" s="4">
        <f>yt_sports_channels_stats[[#This Row],[subscriber_count]]/yt_sports_channels_stats[[#This Row],[view_count]]</f>
        <v>2.6818936500604186E-3</v>
      </c>
      <c r="I251">
        <v>577000</v>
      </c>
    </row>
    <row r="252" spans="1:9" x14ac:dyDescent="0.25">
      <c r="A252" t="s">
        <v>244</v>
      </c>
      <c r="B252" s="1">
        <v>42432</v>
      </c>
      <c r="C252">
        <f>YEAR(yt_sports_channels_stats[[#This Row],[Start Date]])</f>
        <v>2016</v>
      </c>
      <c r="D252" s="1" t="str">
        <f>IF(YEAR(yt_sports_channels_stats[[#This Row],[Start Date]])&lt;2011,"Old Gen",IF(AND(YEAR(yt_sports_channels_stats[[#This Row],[Start Date]]&gt;2011),YEAR(yt_sports_channels_stats[[#This Row],[Start Date]])&lt;2020),"Mid Gen","New Gen"))</f>
        <v>Mid Gen</v>
      </c>
      <c r="E252">
        <v>1571</v>
      </c>
      <c r="F252">
        <v>55367459</v>
      </c>
      <c r="G252">
        <f>yt_sports_channels_stats[[#This Row],[view_count]]/yt_sports_channels_stats[[#This Row],[video_count]]</f>
        <v>35243.449395289623</v>
      </c>
      <c r="H252" s="4">
        <f>yt_sports_channels_stats[[#This Row],[subscriber_count]]/yt_sports_channels_stats[[#This Row],[view_count]]</f>
        <v>4.6417156330038553E-3</v>
      </c>
      <c r="I252">
        <v>257000</v>
      </c>
    </row>
    <row r="253" spans="1:9" x14ac:dyDescent="0.25">
      <c r="A253" t="s">
        <v>245</v>
      </c>
      <c r="B253" s="1">
        <v>40997</v>
      </c>
      <c r="C253">
        <f>YEAR(yt_sports_channels_stats[[#This Row],[Start Date]])</f>
        <v>2012</v>
      </c>
      <c r="D253" s="1" t="str">
        <f>IF(YEAR(yt_sports_channels_stats[[#This Row],[Start Date]])&lt;2011,"Old Gen",IF(AND(YEAR(yt_sports_channels_stats[[#This Row],[Start Date]]&gt;2011),YEAR(yt_sports_channels_stats[[#This Row],[Start Date]])&lt;2020),"Mid Gen","New Gen"))</f>
        <v>Mid Gen</v>
      </c>
      <c r="E253">
        <v>2456</v>
      </c>
      <c r="F253">
        <v>8201172</v>
      </c>
      <c r="G253">
        <f>yt_sports_channels_stats[[#This Row],[view_count]]/yt_sports_channels_stats[[#This Row],[video_count]]</f>
        <v>3339.2394136807816</v>
      </c>
      <c r="H253" s="4">
        <f>yt_sports_channels_stats[[#This Row],[subscriber_count]]/yt_sports_channels_stats[[#This Row],[view_count]]</f>
        <v>5.5114073939675941E-3</v>
      </c>
      <c r="I253">
        <v>45200</v>
      </c>
    </row>
    <row r="254" spans="1:9" x14ac:dyDescent="0.25">
      <c r="A254" t="s">
        <v>246</v>
      </c>
      <c r="B254" s="1">
        <v>43705</v>
      </c>
      <c r="C254">
        <f>YEAR(yt_sports_channels_stats[[#This Row],[Start Date]])</f>
        <v>2019</v>
      </c>
      <c r="D254" s="1" t="str">
        <f>IF(YEAR(yt_sports_channels_stats[[#This Row],[Start Date]])&lt;2011,"Old Gen",IF(AND(YEAR(yt_sports_channels_stats[[#This Row],[Start Date]]&gt;2011),YEAR(yt_sports_channels_stats[[#This Row],[Start Date]])&lt;2020),"Mid Gen","New Gen"))</f>
        <v>Mid Gen</v>
      </c>
      <c r="E254">
        <v>82</v>
      </c>
      <c r="F254">
        <v>484636</v>
      </c>
      <c r="G254">
        <f>yt_sports_channels_stats[[#This Row],[view_count]]/yt_sports_channels_stats[[#This Row],[video_count]]</f>
        <v>5910.1951219512193</v>
      </c>
      <c r="H254" s="4">
        <f>yt_sports_channels_stats[[#This Row],[subscriber_count]]/yt_sports_channels_stats[[#This Row],[view_count]]</f>
        <v>1.7642106653240782E-2</v>
      </c>
      <c r="I254">
        <v>8550</v>
      </c>
    </row>
    <row r="255" spans="1:9" x14ac:dyDescent="0.25">
      <c r="A255" t="s">
        <v>247</v>
      </c>
      <c r="B255" s="1">
        <v>42412</v>
      </c>
      <c r="C255">
        <f>YEAR(yt_sports_channels_stats[[#This Row],[Start Date]])</f>
        <v>2016</v>
      </c>
      <c r="D255" s="1" t="str">
        <f>IF(YEAR(yt_sports_channels_stats[[#This Row],[Start Date]])&lt;2011,"Old Gen",IF(AND(YEAR(yt_sports_channels_stats[[#This Row],[Start Date]]&gt;2011),YEAR(yt_sports_channels_stats[[#This Row],[Start Date]])&lt;2020),"Mid Gen","New Gen"))</f>
        <v>Mid Gen</v>
      </c>
      <c r="E255">
        <v>181</v>
      </c>
      <c r="F255">
        <v>1737987</v>
      </c>
      <c r="G255">
        <f>yt_sports_channels_stats[[#This Row],[view_count]]/yt_sports_channels_stats[[#This Row],[video_count]]</f>
        <v>9602.138121546961</v>
      </c>
      <c r="H255" s="4">
        <f>yt_sports_channels_stats[[#This Row],[subscriber_count]]/yt_sports_channels_stats[[#This Row],[view_count]]</f>
        <v>4.6893331192926066E-3</v>
      </c>
      <c r="I255">
        <v>8150</v>
      </c>
    </row>
    <row r="256" spans="1:9" x14ac:dyDescent="0.25">
      <c r="A256" t="s">
        <v>248</v>
      </c>
      <c r="B256" s="1">
        <v>44469</v>
      </c>
      <c r="C256">
        <f>YEAR(yt_sports_channels_stats[[#This Row],[Start Date]])</f>
        <v>2021</v>
      </c>
      <c r="D256" s="1" t="str">
        <f>IF(YEAR(yt_sports_channels_stats[[#This Row],[Start Date]])&lt;2011,"Old Gen",IF(AND(YEAR(yt_sports_channels_stats[[#This Row],[Start Date]]&gt;2011),YEAR(yt_sports_channels_stats[[#This Row],[Start Date]])&lt;2020),"Mid Gen","New Gen"))</f>
        <v>New Gen</v>
      </c>
      <c r="E256">
        <v>285</v>
      </c>
      <c r="F256">
        <v>123916282</v>
      </c>
      <c r="G256">
        <f>yt_sports_channels_stats[[#This Row],[view_count]]/yt_sports_channels_stats[[#This Row],[video_count]]</f>
        <v>434793.97192982456</v>
      </c>
      <c r="H256" s="4">
        <f>yt_sports_channels_stats[[#This Row],[subscriber_count]]/yt_sports_channels_stats[[#This Row],[view_count]]</f>
        <v>5.705464920259631E-3</v>
      </c>
      <c r="I256">
        <v>707000</v>
      </c>
    </row>
    <row r="257" spans="1:9" x14ac:dyDescent="0.25">
      <c r="A257" t="s">
        <v>249</v>
      </c>
      <c r="B257" s="1">
        <v>44444</v>
      </c>
      <c r="C257">
        <f>YEAR(yt_sports_channels_stats[[#This Row],[Start Date]])</f>
        <v>2021</v>
      </c>
      <c r="D257" s="1" t="str">
        <f>IF(YEAR(yt_sports_channels_stats[[#This Row],[Start Date]])&lt;2011,"Old Gen",IF(AND(YEAR(yt_sports_channels_stats[[#This Row],[Start Date]]&gt;2011),YEAR(yt_sports_channels_stats[[#This Row],[Start Date]])&lt;2020),"Mid Gen","New Gen"))</f>
        <v>New Gen</v>
      </c>
      <c r="E257">
        <v>598</v>
      </c>
      <c r="F257">
        <v>279211</v>
      </c>
      <c r="G257">
        <f>yt_sports_channels_stats[[#This Row],[view_count]]/yt_sports_channels_stats[[#This Row],[video_count]]</f>
        <v>466.90802675585286</v>
      </c>
      <c r="H257" s="4">
        <f>yt_sports_channels_stats[[#This Row],[subscriber_count]]/yt_sports_channels_stats[[#This Row],[view_count]]</f>
        <v>9.0970627948039288E-3</v>
      </c>
      <c r="I257">
        <v>2540</v>
      </c>
    </row>
    <row r="258" spans="1:9" x14ac:dyDescent="0.25">
      <c r="A258" t="s">
        <v>250</v>
      </c>
      <c r="B258" s="1">
        <v>43039</v>
      </c>
      <c r="C258">
        <f>YEAR(yt_sports_channels_stats[[#This Row],[Start Date]])</f>
        <v>2017</v>
      </c>
      <c r="D258" s="1" t="str">
        <f>IF(YEAR(yt_sports_channels_stats[[#This Row],[Start Date]])&lt;2011,"Old Gen",IF(AND(YEAR(yt_sports_channels_stats[[#This Row],[Start Date]]&gt;2011),YEAR(yt_sports_channels_stats[[#This Row],[Start Date]])&lt;2020),"Mid Gen","New Gen"))</f>
        <v>Mid Gen</v>
      </c>
      <c r="E258">
        <v>120</v>
      </c>
      <c r="F258">
        <v>221852</v>
      </c>
      <c r="G258">
        <f>yt_sports_channels_stats[[#This Row],[view_count]]/yt_sports_channels_stats[[#This Row],[video_count]]</f>
        <v>1848.7666666666667</v>
      </c>
      <c r="H258" s="4">
        <f>yt_sports_channels_stats[[#This Row],[subscriber_count]]/yt_sports_channels_stats[[#This Row],[view_count]]</f>
        <v>1.7263761426536611E-2</v>
      </c>
      <c r="I258">
        <v>3830</v>
      </c>
    </row>
    <row r="259" spans="1:9" x14ac:dyDescent="0.25">
      <c r="A259" t="s">
        <v>251</v>
      </c>
      <c r="B259" s="1">
        <v>45166</v>
      </c>
      <c r="C259">
        <f>YEAR(yt_sports_channels_stats[[#This Row],[Start Date]])</f>
        <v>2023</v>
      </c>
      <c r="D259" s="1" t="str">
        <f>IF(YEAR(yt_sports_channels_stats[[#This Row],[Start Date]])&lt;2011,"Old Gen",IF(AND(YEAR(yt_sports_channels_stats[[#This Row],[Start Date]]&gt;2011),YEAR(yt_sports_channels_stats[[#This Row],[Start Date]])&lt;2020),"Mid Gen","New Gen"))</f>
        <v>New Gen</v>
      </c>
      <c r="E259">
        <v>25</v>
      </c>
      <c r="F259">
        <v>196631</v>
      </c>
      <c r="G259">
        <f>yt_sports_channels_stats[[#This Row],[view_count]]/yt_sports_channels_stats[[#This Row],[video_count]]</f>
        <v>7865.24</v>
      </c>
      <c r="H259" s="4">
        <f>yt_sports_channels_stats[[#This Row],[subscriber_count]]/yt_sports_channels_stats[[#This Row],[view_count]]</f>
        <v>5.2382381211507852E-2</v>
      </c>
      <c r="I259">
        <v>10300</v>
      </c>
    </row>
    <row r="260" spans="1:9" x14ac:dyDescent="0.25">
      <c r="A260" t="s">
        <v>252</v>
      </c>
      <c r="B260" s="1">
        <v>43594</v>
      </c>
      <c r="C260">
        <f>YEAR(yt_sports_channels_stats[[#This Row],[Start Date]])</f>
        <v>2019</v>
      </c>
      <c r="D260" s="1" t="str">
        <f>IF(YEAR(yt_sports_channels_stats[[#This Row],[Start Date]])&lt;2011,"Old Gen",IF(AND(YEAR(yt_sports_channels_stats[[#This Row],[Start Date]]&gt;2011),YEAR(yt_sports_channels_stats[[#This Row],[Start Date]])&lt;2020),"Mid Gen","New Gen"))</f>
        <v>Mid Gen</v>
      </c>
      <c r="E260">
        <v>3315</v>
      </c>
      <c r="F260">
        <v>199529224</v>
      </c>
      <c r="G260">
        <f>yt_sports_channels_stats[[#This Row],[view_count]]/yt_sports_channels_stats[[#This Row],[video_count]]</f>
        <v>60189.811161387632</v>
      </c>
      <c r="H260" s="4">
        <f>yt_sports_channels_stats[[#This Row],[subscriber_count]]/yt_sports_channels_stats[[#This Row],[view_count]]</f>
        <v>2.4858513958837427E-3</v>
      </c>
      <c r="I260">
        <v>496000</v>
      </c>
    </row>
    <row r="261" spans="1:9" x14ac:dyDescent="0.25">
      <c r="A261" t="s">
        <v>253</v>
      </c>
      <c r="B261" s="1">
        <v>44430</v>
      </c>
      <c r="C261">
        <f>YEAR(yt_sports_channels_stats[[#This Row],[Start Date]])</f>
        <v>2021</v>
      </c>
      <c r="D261" s="1" t="str">
        <f>IF(YEAR(yt_sports_channels_stats[[#This Row],[Start Date]])&lt;2011,"Old Gen",IF(AND(YEAR(yt_sports_channels_stats[[#This Row],[Start Date]]&gt;2011),YEAR(yt_sports_channels_stats[[#This Row],[Start Date]])&lt;2020),"Mid Gen","New Gen"))</f>
        <v>New Gen</v>
      </c>
      <c r="E261">
        <v>1390</v>
      </c>
      <c r="F261">
        <v>659236</v>
      </c>
      <c r="G261">
        <f>yt_sports_channels_stats[[#This Row],[view_count]]/yt_sports_channels_stats[[#This Row],[video_count]]</f>
        <v>474.27050359712229</v>
      </c>
      <c r="H261" s="4">
        <f>yt_sports_channels_stats[[#This Row],[subscriber_count]]/yt_sports_channels_stats[[#This Row],[view_count]]</f>
        <v>3.9742975201596999E-3</v>
      </c>
      <c r="I261">
        <v>2620</v>
      </c>
    </row>
    <row r="262" spans="1:9" x14ac:dyDescent="0.25">
      <c r="A262" t="s">
        <v>254</v>
      </c>
      <c r="B262" s="1">
        <v>44356</v>
      </c>
      <c r="C262">
        <f>YEAR(yt_sports_channels_stats[[#This Row],[Start Date]])</f>
        <v>2021</v>
      </c>
      <c r="D262" s="1" t="str">
        <f>IF(YEAR(yt_sports_channels_stats[[#This Row],[Start Date]])&lt;2011,"Old Gen",IF(AND(YEAR(yt_sports_channels_stats[[#This Row],[Start Date]]&gt;2011),YEAR(yt_sports_channels_stats[[#This Row],[Start Date]])&lt;2020),"Mid Gen","New Gen"))</f>
        <v>New Gen</v>
      </c>
      <c r="E262">
        <v>1683</v>
      </c>
      <c r="F262">
        <v>7967432</v>
      </c>
      <c r="G262">
        <f>yt_sports_channels_stats[[#This Row],[view_count]]/yt_sports_channels_stats[[#This Row],[video_count]]</f>
        <v>4734.0653594771238</v>
      </c>
      <c r="H262" s="4">
        <f>yt_sports_channels_stats[[#This Row],[subscriber_count]]/yt_sports_channels_stats[[#This Row],[view_count]]</f>
        <v>2.5353212929837368E-3</v>
      </c>
      <c r="I262">
        <v>20200</v>
      </c>
    </row>
    <row r="263" spans="1:9" x14ac:dyDescent="0.25">
      <c r="A263" t="s">
        <v>255</v>
      </c>
      <c r="B263" s="1">
        <v>45042</v>
      </c>
      <c r="C263">
        <f>YEAR(yt_sports_channels_stats[[#This Row],[Start Date]])</f>
        <v>2023</v>
      </c>
      <c r="D263" s="1" t="str">
        <f>IF(YEAR(yt_sports_channels_stats[[#This Row],[Start Date]])&lt;2011,"Old Gen",IF(AND(YEAR(yt_sports_channels_stats[[#This Row],[Start Date]]&gt;2011),YEAR(yt_sports_channels_stats[[#This Row],[Start Date]])&lt;2020),"Mid Gen","New Gen"))</f>
        <v>New Gen</v>
      </c>
      <c r="E263">
        <v>4</v>
      </c>
      <c r="F263">
        <v>13863</v>
      </c>
      <c r="G263">
        <f>yt_sports_channels_stats[[#This Row],[view_count]]/yt_sports_channels_stats[[#This Row],[video_count]]</f>
        <v>3465.75</v>
      </c>
      <c r="H263" s="4">
        <f>yt_sports_channels_stats[[#This Row],[subscriber_count]]/yt_sports_channels_stats[[#This Row],[view_count]]</f>
        <v>1.4643295102070259E-2</v>
      </c>
      <c r="I263">
        <v>203</v>
      </c>
    </row>
    <row r="264" spans="1:9" x14ac:dyDescent="0.25">
      <c r="A264" t="s">
        <v>256</v>
      </c>
      <c r="B264" s="1">
        <v>45154</v>
      </c>
      <c r="C264">
        <f>YEAR(yt_sports_channels_stats[[#This Row],[Start Date]])</f>
        <v>2023</v>
      </c>
      <c r="D264" s="1" t="str">
        <f>IF(YEAR(yt_sports_channels_stats[[#This Row],[Start Date]])&lt;2011,"Old Gen",IF(AND(YEAR(yt_sports_channels_stats[[#This Row],[Start Date]]&gt;2011),YEAR(yt_sports_channels_stats[[#This Row],[Start Date]])&lt;2020),"Mid Gen","New Gen"))</f>
        <v>New Gen</v>
      </c>
      <c r="E264">
        <v>31</v>
      </c>
      <c r="F264">
        <v>34719</v>
      </c>
      <c r="G264">
        <f>yt_sports_channels_stats[[#This Row],[view_count]]/yt_sports_channels_stats[[#This Row],[video_count]]</f>
        <v>1119.9677419354839</v>
      </c>
      <c r="H264" s="4">
        <f>yt_sports_channels_stats[[#This Row],[subscriber_count]]/yt_sports_channels_stats[[#This Row],[view_count]]</f>
        <v>1.4401336444022006E-2</v>
      </c>
      <c r="I264">
        <v>500</v>
      </c>
    </row>
    <row r="265" spans="1:9" x14ac:dyDescent="0.25">
      <c r="A265" t="s">
        <v>257</v>
      </c>
      <c r="B265" s="1">
        <v>43475</v>
      </c>
      <c r="C265">
        <f>YEAR(yt_sports_channels_stats[[#This Row],[Start Date]])</f>
        <v>2019</v>
      </c>
      <c r="D265" s="1" t="str">
        <f>IF(YEAR(yt_sports_channels_stats[[#This Row],[Start Date]])&lt;2011,"Old Gen",IF(AND(YEAR(yt_sports_channels_stats[[#This Row],[Start Date]]&gt;2011),YEAR(yt_sports_channels_stats[[#This Row],[Start Date]])&lt;2020),"Mid Gen","New Gen"))</f>
        <v>Mid Gen</v>
      </c>
      <c r="E265">
        <v>2448</v>
      </c>
      <c r="F265">
        <v>1437079</v>
      </c>
      <c r="G265">
        <f>yt_sports_channels_stats[[#This Row],[view_count]]/yt_sports_channels_stats[[#This Row],[video_count]]</f>
        <v>587.04207516339875</v>
      </c>
      <c r="H265" s="4">
        <f>yt_sports_channels_stats[[#This Row],[subscriber_count]]/yt_sports_channels_stats[[#This Row],[view_count]]</f>
        <v>2.9921806664769297E-3</v>
      </c>
      <c r="I265">
        <v>4300</v>
      </c>
    </row>
    <row r="266" spans="1:9" x14ac:dyDescent="0.25">
      <c r="A266" t="s">
        <v>258</v>
      </c>
      <c r="B266" s="1">
        <v>43884</v>
      </c>
      <c r="C266">
        <f>YEAR(yt_sports_channels_stats[[#This Row],[Start Date]])</f>
        <v>2020</v>
      </c>
      <c r="D266" s="1" t="str">
        <f>IF(YEAR(yt_sports_channels_stats[[#This Row],[Start Date]])&lt;2011,"Old Gen",IF(AND(YEAR(yt_sports_channels_stats[[#This Row],[Start Date]]&gt;2011),YEAR(yt_sports_channels_stats[[#This Row],[Start Date]])&lt;2020),"Mid Gen","New Gen"))</f>
        <v>New Gen</v>
      </c>
      <c r="E266">
        <v>1390</v>
      </c>
      <c r="F266">
        <v>544066</v>
      </c>
      <c r="G266">
        <f>yt_sports_channels_stats[[#This Row],[view_count]]/yt_sports_channels_stats[[#This Row],[video_count]]</f>
        <v>391.41438848920865</v>
      </c>
      <c r="H266" s="4">
        <f>yt_sports_channels_stats[[#This Row],[subscriber_count]]/yt_sports_channels_stats[[#This Row],[view_count]]</f>
        <v>7.4071895689125948E-3</v>
      </c>
      <c r="I266">
        <v>4030</v>
      </c>
    </row>
    <row r="267" spans="1:9" x14ac:dyDescent="0.25">
      <c r="A267" t="s">
        <v>259</v>
      </c>
      <c r="B267" s="1">
        <v>42044</v>
      </c>
      <c r="C267">
        <f>YEAR(yt_sports_channels_stats[[#This Row],[Start Date]])</f>
        <v>2015</v>
      </c>
      <c r="D267" s="1" t="str">
        <f>IF(YEAR(yt_sports_channels_stats[[#This Row],[Start Date]])&lt;2011,"Old Gen",IF(AND(YEAR(yt_sports_channels_stats[[#This Row],[Start Date]]&gt;2011),YEAR(yt_sports_channels_stats[[#This Row],[Start Date]])&lt;2020),"Mid Gen","New Gen"))</f>
        <v>Mid Gen</v>
      </c>
      <c r="E267">
        <v>24563</v>
      </c>
      <c r="F267">
        <v>1873071275</v>
      </c>
      <c r="G267">
        <f>yt_sports_channels_stats[[#This Row],[view_count]]/yt_sports_channels_stats[[#This Row],[video_count]]</f>
        <v>76255.802426413706</v>
      </c>
      <c r="H267" s="4">
        <f>yt_sports_channels_stats[[#This Row],[subscriber_count]]/yt_sports_channels_stats[[#This Row],[view_count]]</f>
        <v>2.2209512555788889E-3</v>
      </c>
      <c r="I267">
        <v>4160000</v>
      </c>
    </row>
    <row r="268" spans="1:9" x14ac:dyDescent="0.25">
      <c r="A268" t="s">
        <v>260</v>
      </c>
      <c r="B268" s="1">
        <v>42303</v>
      </c>
      <c r="C268">
        <f>YEAR(yt_sports_channels_stats[[#This Row],[Start Date]])</f>
        <v>2015</v>
      </c>
      <c r="D268" s="1" t="str">
        <f>IF(YEAR(yt_sports_channels_stats[[#This Row],[Start Date]])&lt;2011,"Old Gen",IF(AND(YEAR(yt_sports_channels_stats[[#This Row],[Start Date]]&gt;2011),YEAR(yt_sports_channels_stats[[#This Row],[Start Date]])&lt;2020),"Mid Gen","New Gen"))</f>
        <v>Mid Gen</v>
      </c>
      <c r="E268">
        <v>1527</v>
      </c>
      <c r="F268">
        <v>2225633</v>
      </c>
      <c r="G268">
        <f>yt_sports_channels_stats[[#This Row],[view_count]]/yt_sports_channels_stats[[#This Row],[video_count]]</f>
        <v>1457.5199738048461</v>
      </c>
      <c r="H268" s="4">
        <f>yt_sports_channels_stats[[#This Row],[subscriber_count]]/yt_sports_channels_stats[[#This Row],[view_count]]</f>
        <v>2.0443622106609671E-3</v>
      </c>
      <c r="I268">
        <v>4550</v>
      </c>
    </row>
    <row r="269" spans="1:9" x14ac:dyDescent="0.25">
      <c r="A269" t="s">
        <v>261</v>
      </c>
      <c r="B269" s="1">
        <v>43409</v>
      </c>
      <c r="C269">
        <f>YEAR(yt_sports_channels_stats[[#This Row],[Start Date]])</f>
        <v>2018</v>
      </c>
      <c r="D269" s="1" t="str">
        <f>IF(YEAR(yt_sports_channels_stats[[#This Row],[Start Date]])&lt;2011,"Old Gen",IF(AND(YEAR(yt_sports_channels_stats[[#This Row],[Start Date]]&gt;2011),YEAR(yt_sports_channels_stats[[#This Row],[Start Date]])&lt;2020),"Mid Gen","New Gen"))</f>
        <v>Mid Gen</v>
      </c>
      <c r="E269">
        <v>1333</v>
      </c>
      <c r="F269">
        <v>2888355</v>
      </c>
      <c r="G269">
        <f>yt_sports_channels_stats[[#This Row],[view_count]]/yt_sports_channels_stats[[#This Row],[video_count]]</f>
        <v>2166.8079519879971</v>
      </c>
      <c r="H269" s="4">
        <f>yt_sports_channels_stats[[#This Row],[subscriber_count]]/yt_sports_channels_stats[[#This Row],[view_count]]</f>
        <v>1.9041980642961132E-2</v>
      </c>
      <c r="I269">
        <v>55000</v>
      </c>
    </row>
    <row r="270" spans="1:9" x14ac:dyDescent="0.25">
      <c r="A270" t="s">
        <v>262</v>
      </c>
      <c r="B270" s="1">
        <v>45218</v>
      </c>
      <c r="C270">
        <f>YEAR(yt_sports_channels_stats[[#This Row],[Start Date]])</f>
        <v>2023</v>
      </c>
      <c r="D270" s="1" t="str">
        <f>IF(YEAR(yt_sports_channels_stats[[#This Row],[Start Date]])&lt;2011,"Old Gen",IF(AND(YEAR(yt_sports_channels_stats[[#This Row],[Start Date]]&gt;2011),YEAR(yt_sports_channels_stats[[#This Row],[Start Date]])&lt;2020),"Mid Gen","New Gen"))</f>
        <v>New Gen</v>
      </c>
      <c r="E270">
        <v>108</v>
      </c>
      <c r="F270">
        <v>68482</v>
      </c>
      <c r="G270">
        <f>yt_sports_channels_stats[[#This Row],[view_count]]/yt_sports_channels_stats[[#This Row],[video_count]]</f>
        <v>634.09259259259261</v>
      </c>
      <c r="H270" s="4">
        <f>yt_sports_channels_stats[[#This Row],[subscriber_count]]/yt_sports_channels_stats[[#This Row],[view_count]]</f>
        <v>5.81174615227359E-3</v>
      </c>
      <c r="I270">
        <v>398</v>
      </c>
    </row>
    <row r="271" spans="1:9" x14ac:dyDescent="0.25">
      <c r="A271" t="s">
        <v>479</v>
      </c>
      <c r="B271" s="1">
        <v>43327</v>
      </c>
      <c r="C271">
        <f>YEAR(yt_sports_channels_stats[[#This Row],[Start Date]])</f>
        <v>2018</v>
      </c>
      <c r="D271" s="1" t="str">
        <f>IF(YEAR(yt_sports_channels_stats[[#This Row],[Start Date]])&lt;2011,"Old Gen",IF(AND(YEAR(yt_sports_channels_stats[[#This Row],[Start Date]]&gt;2011),YEAR(yt_sports_channels_stats[[#This Row],[Start Date]])&lt;2020),"Mid Gen","New Gen"))</f>
        <v>Mid Gen</v>
      </c>
      <c r="E271">
        <v>4387</v>
      </c>
      <c r="F271">
        <v>2729764</v>
      </c>
      <c r="G271">
        <f>yt_sports_channels_stats[[#This Row],[view_count]]/yt_sports_channels_stats[[#This Row],[video_count]]</f>
        <v>622.23934351493051</v>
      </c>
      <c r="H271" s="4">
        <f>yt_sports_channels_stats[[#This Row],[subscriber_count]]/yt_sports_channels_stats[[#This Row],[view_count]]</f>
        <v>1.7657204065992518E-3</v>
      </c>
      <c r="I271">
        <v>4820</v>
      </c>
    </row>
    <row r="272" spans="1:9" x14ac:dyDescent="0.25">
      <c r="A272" t="s">
        <v>263</v>
      </c>
      <c r="B272" s="1">
        <v>44642</v>
      </c>
      <c r="C272">
        <f>YEAR(yt_sports_channels_stats[[#This Row],[Start Date]])</f>
        <v>2022</v>
      </c>
      <c r="D272" s="1" t="str">
        <f>IF(YEAR(yt_sports_channels_stats[[#This Row],[Start Date]])&lt;2011,"Old Gen",IF(AND(YEAR(yt_sports_channels_stats[[#This Row],[Start Date]]&gt;2011),YEAR(yt_sports_channels_stats[[#This Row],[Start Date]])&lt;2020),"Mid Gen","New Gen"))</f>
        <v>New Gen</v>
      </c>
      <c r="E272">
        <v>5591</v>
      </c>
      <c r="F272">
        <v>38999597</v>
      </c>
      <c r="G272">
        <f>yt_sports_channels_stats[[#This Row],[view_count]]/yt_sports_channels_stats[[#This Row],[video_count]]</f>
        <v>6975.4242532641747</v>
      </c>
      <c r="H272" s="4">
        <f>yt_sports_channels_stats[[#This Row],[subscriber_count]]/yt_sports_channels_stats[[#This Row],[view_count]]</f>
        <v>2.5025899626603832E-3</v>
      </c>
      <c r="I272">
        <v>97600</v>
      </c>
    </row>
    <row r="273" spans="1:9" x14ac:dyDescent="0.25">
      <c r="A273" t="s">
        <v>264</v>
      </c>
      <c r="B273" s="1">
        <v>40206</v>
      </c>
      <c r="C273">
        <f>YEAR(yt_sports_channels_stats[[#This Row],[Start Date]])</f>
        <v>2010</v>
      </c>
      <c r="D273" s="1" t="str">
        <f>IF(YEAR(yt_sports_channels_stats[[#This Row],[Start Date]])&lt;2011,"Old Gen",IF(AND(YEAR(yt_sports_channels_stats[[#This Row],[Start Date]]&gt;2011),YEAR(yt_sports_channels_stats[[#This Row],[Start Date]])&lt;2020),"Mid Gen","New Gen"))</f>
        <v>Old Gen</v>
      </c>
      <c r="E273">
        <v>1445</v>
      </c>
      <c r="F273">
        <v>1498060</v>
      </c>
      <c r="G273">
        <f>yt_sports_channels_stats[[#This Row],[view_count]]/yt_sports_channels_stats[[#This Row],[video_count]]</f>
        <v>1036.7197231833909</v>
      </c>
      <c r="H273" s="4">
        <f>yt_sports_channels_stats[[#This Row],[subscriber_count]]/yt_sports_channels_stats[[#This Row],[view_count]]</f>
        <v>6.3615609521647997E-3</v>
      </c>
      <c r="I273">
        <v>9530</v>
      </c>
    </row>
    <row r="274" spans="1:9" x14ac:dyDescent="0.25">
      <c r="A274" t="s">
        <v>265</v>
      </c>
      <c r="B274" s="1">
        <v>44940</v>
      </c>
      <c r="C274">
        <f>YEAR(yt_sports_channels_stats[[#This Row],[Start Date]])</f>
        <v>2023</v>
      </c>
      <c r="D274" s="1" t="str">
        <f>IF(YEAR(yt_sports_channels_stats[[#This Row],[Start Date]])&lt;2011,"Old Gen",IF(AND(YEAR(yt_sports_channels_stats[[#This Row],[Start Date]]&gt;2011),YEAR(yt_sports_channels_stats[[#This Row],[Start Date]])&lt;2020),"Mid Gen","New Gen"))</f>
        <v>New Gen</v>
      </c>
      <c r="E274">
        <v>628</v>
      </c>
      <c r="F274">
        <v>208763</v>
      </c>
      <c r="G274">
        <f>yt_sports_channels_stats[[#This Row],[view_count]]/yt_sports_channels_stats[[#This Row],[video_count]]</f>
        <v>332.42515923566879</v>
      </c>
      <c r="H274" s="4">
        <f>yt_sports_channels_stats[[#This Row],[subscriber_count]]/yt_sports_channels_stats[[#This Row],[view_count]]</f>
        <v>8.9096247898334483E-3</v>
      </c>
      <c r="I274">
        <v>1860</v>
      </c>
    </row>
    <row r="275" spans="1:9" x14ac:dyDescent="0.25">
      <c r="A275" t="s">
        <v>266</v>
      </c>
      <c r="B275" s="1">
        <v>43705</v>
      </c>
      <c r="C275">
        <f>YEAR(yt_sports_channels_stats[[#This Row],[Start Date]])</f>
        <v>2019</v>
      </c>
      <c r="D275" s="1" t="str">
        <f>IF(YEAR(yt_sports_channels_stats[[#This Row],[Start Date]])&lt;2011,"Old Gen",IF(AND(YEAR(yt_sports_channels_stats[[#This Row],[Start Date]]&gt;2011),YEAR(yt_sports_channels_stats[[#This Row],[Start Date]])&lt;2020),"Mid Gen","New Gen"))</f>
        <v>Mid Gen</v>
      </c>
      <c r="E275">
        <v>619</v>
      </c>
      <c r="F275">
        <v>648907</v>
      </c>
      <c r="G275">
        <f>yt_sports_channels_stats[[#This Row],[view_count]]/yt_sports_channels_stats[[#This Row],[video_count]]</f>
        <v>1048.3150242326333</v>
      </c>
      <c r="H275" s="4">
        <f>yt_sports_channels_stats[[#This Row],[subscriber_count]]/yt_sports_channels_stats[[#This Row],[view_count]]</f>
        <v>5.4553271886418238E-3</v>
      </c>
      <c r="I275">
        <v>3540</v>
      </c>
    </row>
    <row r="276" spans="1:9" x14ac:dyDescent="0.25">
      <c r="A276" t="s">
        <v>267</v>
      </c>
      <c r="B276" s="1">
        <v>45000</v>
      </c>
      <c r="C276">
        <f>YEAR(yt_sports_channels_stats[[#This Row],[Start Date]])</f>
        <v>2023</v>
      </c>
      <c r="D276" s="1" t="str">
        <f>IF(YEAR(yt_sports_channels_stats[[#This Row],[Start Date]])&lt;2011,"Old Gen",IF(AND(YEAR(yt_sports_channels_stats[[#This Row],[Start Date]]&gt;2011),YEAR(yt_sports_channels_stats[[#This Row],[Start Date]])&lt;2020),"Mid Gen","New Gen"))</f>
        <v>New Gen</v>
      </c>
      <c r="E276">
        <v>46</v>
      </c>
      <c r="F276">
        <v>17215</v>
      </c>
      <c r="G276">
        <f>yt_sports_channels_stats[[#This Row],[view_count]]/yt_sports_channels_stats[[#This Row],[video_count]]</f>
        <v>374.23913043478262</v>
      </c>
      <c r="H276" s="4">
        <f>yt_sports_channels_stats[[#This Row],[subscriber_count]]/yt_sports_channels_stats[[#This Row],[view_count]]</f>
        <v>7.4934650014522215E-3</v>
      </c>
      <c r="I276">
        <v>129</v>
      </c>
    </row>
    <row r="277" spans="1:9" x14ac:dyDescent="0.25">
      <c r="A277" t="s">
        <v>268</v>
      </c>
      <c r="B277" s="1">
        <v>43936</v>
      </c>
      <c r="C277">
        <f>YEAR(yt_sports_channels_stats[[#This Row],[Start Date]])</f>
        <v>2020</v>
      </c>
      <c r="D277" s="1" t="str">
        <f>IF(YEAR(yt_sports_channels_stats[[#This Row],[Start Date]])&lt;2011,"Old Gen",IF(AND(YEAR(yt_sports_channels_stats[[#This Row],[Start Date]]&gt;2011),YEAR(yt_sports_channels_stats[[#This Row],[Start Date]])&lt;2020),"Mid Gen","New Gen"))</f>
        <v>New Gen</v>
      </c>
      <c r="E277">
        <v>2837</v>
      </c>
      <c r="F277">
        <v>3859259</v>
      </c>
      <c r="G277">
        <f>yt_sports_channels_stats[[#This Row],[view_count]]/yt_sports_channels_stats[[#This Row],[video_count]]</f>
        <v>1360.330983433204</v>
      </c>
      <c r="H277" s="4">
        <f>yt_sports_channels_stats[[#This Row],[subscriber_count]]/yt_sports_channels_stats[[#This Row],[view_count]]</f>
        <v>4.6641077989323853E-3</v>
      </c>
      <c r="I277">
        <v>18000</v>
      </c>
    </row>
    <row r="278" spans="1:9" x14ac:dyDescent="0.25">
      <c r="A278" t="s">
        <v>480</v>
      </c>
      <c r="B278" s="1">
        <v>45122</v>
      </c>
      <c r="C278">
        <f>YEAR(yt_sports_channels_stats[[#This Row],[Start Date]])</f>
        <v>2023</v>
      </c>
      <c r="D278" s="1" t="str">
        <f>IF(YEAR(yt_sports_channels_stats[[#This Row],[Start Date]])&lt;2011,"Old Gen",IF(AND(YEAR(yt_sports_channels_stats[[#This Row],[Start Date]]&gt;2011),YEAR(yt_sports_channels_stats[[#This Row],[Start Date]])&lt;2020),"Mid Gen","New Gen"))</f>
        <v>New Gen</v>
      </c>
      <c r="E278">
        <v>303</v>
      </c>
      <c r="F278">
        <v>3557554</v>
      </c>
      <c r="G278">
        <f>yt_sports_channels_stats[[#This Row],[view_count]]/yt_sports_channels_stats[[#This Row],[video_count]]</f>
        <v>11741.102310231023</v>
      </c>
      <c r="H278" s="4">
        <f>yt_sports_channels_stats[[#This Row],[subscriber_count]]/yt_sports_channels_stats[[#This Row],[view_count]]</f>
        <v>3.8790697203752917E-3</v>
      </c>
      <c r="I278">
        <v>13800</v>
      </c>
    </row>
    <row r="279" spans="1:9" x14ac:dyDescent="0.25">
      <c r="A279" t="s">
        <v>269</v>
      </c>
      <c r="B279" s="1">
        <v>42695</v>
      </c>
      <c r="C279">
        <f>YEAR(yt_sports_channels_stats[[#This Row],[Start Date]])</f>
        <v>2016</v>
      </c>
      <c r="D279" s="1" t="str">
        <f>IF(YEAR(yt_sports_channels_stats[[#This Row],[Start Date]])&lt;2011,"Old Gen",IF(AND(YEAR(yt_sports_channels_stats[[#This Row],[Start Date]]&gt;2011),YEAR(yt_sports_channels_stats[[#This Row],[Start Date]])&lt;2020),"Mid Gen","New Gen"))</f>
        <v>Mid Gen</v>
      </c>
      <c r="E279">
        <v>1164</v>
      </c>
      <c r="F279">
        <v>3171289</v>
      </c>
      <c r="G279">
        <f>yt_sports_channels_stats[[#This Row],[view_count]]/yt_sports_channels_stats[[#This Row],[video_count]]</f>
        <v>2724.475085910653</v>
      </c>
      <c r="H279" s="4">
        <f>yt_sports_channels_stats[[#This Row],[subscriber_count]]/yt_sports_channels_stats[[#This Row],[view_count]]</f>
        <v>4.3515428584402112E-3</v>
      </c>
      <c r="I279">
        <v>13800</v>
      </c>
    </row>
    <row r="280" spans="1:9" x14ac:dyDescent="0.25">
      <c r="A280" t="s">
        <v>270</v>
      </c>
      <c r="B280" s="1">
        <v>45148</v>
      </c>
      <c r="C280">
        <f>YEAR(yt_sports_channels_stats[[#This Row],[Start Date]])</f>
        <v>2023</v>
      </c>
      <c r="D280" s="1" t="str">
        <f>IF(YEAR(yt_sports_channels_stats[[#This Row],[Start Date]])&lt;2011,"Old Gen",IF(AND(YEAR(yt_sports_channels_stats[[#This Row],[Start Date]]&gt;2011),YEAR(yt_sports_channels_stats[[#This Row],[Start Date]])&lt;2020),"Mid Gen","New Gen"))</f>
        <v>New Gen</v>
      </c>
      <c r="E280">
        <v>54</v>
      </c>
      <c r="F280">
        <v>10216</v>
      </c>
      <c r="G280">
        <f>yt_sports_channels_stats[[#This Row],[view_count]]/yt_sports_channels_stats[[#This Row],[video_count]]</f>
        <v>189.18518518518519</v>
      </c>
      <c r="H280" s="4">
        <f>yt_sports_channels_stats[[#This Row],[subscriber_count]]/yt_sports_channels_stats[[#This Row],[view_count]]</f>
        <v>0.12333594361785434</v>
      </c>
      <c r="I280">
        <v>1260</v>
      </c>
    </row>
    <row r="281" spans="1:9" x14ac:dyDescent="0.25">
      <c r="A281" t="s">
        <v>271</v>
      </c>
      <c r="B281" s="1">
        <v>45140</v>
      </c>
      <c r="C281">
        <f>YEAR(yt_sports_channels_stats[[#This Row],[Start Date]])</f>
        <v>2023</v>
      </c>
      <c r="D281" s="1" t="str">
        <f>IF(YEAR(yt_sports_channels_stats[[#This Row],[Start Date]])&lt;2011,"Old Gen",IF(AND(YEAR(yt_sports_channels_stats[[#This Row],[Start Date]]&gt;2011),YEAR(yt_sports_channels_stats[[#This Row],[Start Date]])&lt;2020),"Mid Gen","New Gen"))</f>
        <v>New Gen</v>
      </c>
      <c r="E281">
        <v>302</v>
      </c>
      <c r="F281">
        <v>4320421</v>
      </c>
      <c r="G281">
        <f>yt_sports_channels_stats[[#This Row],[view_count]]/yt_sports_channels_stats[[#This Row],[video_count]]</f>
        <v>14306.029801324503</v>
      </c>
      <c r="H281" s="4">
        <f>yt_sports_channels_stats[[#This Row],[subscriber_count]]/yt_sports_channels_stats[[#This Row],[view_count]]</f>
        <v>9.5823994930123706E-3</v>
      </c>
      <c r="I281">
        <v>41400</v>
      </c>
    </row>
    <row r="282" spans="1:9" x14ac:dyDescent="0.25">
      <c r="A282" t="s">
        <v>272</v>
      </c>
      <c r="B282" s="1">
        <v>41635</v>
      </c>
      <c r="C282">
        <f>YEAR(yt_sports_channels_stats[[#This Row],[Start Date]])</f>
        <v>2013</v>
      </c>
      <c r="D282" s="1" t="str">
        <f>IF(YEAR(yt_sports_channels_stats[[#This Row],[Start Date]])&lt;2011,"Old Gen",IF(AND(YEAR(yt_sports_channels_stats[[#This Row],[Start Date]]&gt;2011),YEAR(yt_sports_channels_stats[[#This Row],[Start Date]])&lt;2020),"Mid Gen","New Gen"))</f>
        <v>Mid Gen</v>
      </c>
      <c r="E282">
        <v>6171</v>
      </c>
      <c r="F282">
        <v>76024459</v>
      </c>
      <c r="G282">
        <f>yt_sports_channels_stats[[#This Row],[view_count]]/yt_sports_channels_stats[[#This Row],[video_count]]</f>
        <v>12319.633608815428</v>
      </c>
      <c r="H282" s="4">
        <f>yt_sports_channels_stats[[#This Row],[subscriber_count]]/yt_sports_channels_stats[[#This Row],[view_count]]</f>
        <v>1.6442076884756261E-3</v>
      </c>
      <c r="I282">
        <v>125000</v>
      </c>
    </row>
    <row r="283" spans="1:9" x14ac:dyDescent="0.25">
      <c r="A283" t="s">
        <v>273</v>
      </c>
      <c r="B283" s="1">
        <v>43391</v>
      </c>
      <c r="C283">
        <f>YEAR(yt_sports_channels_stats[[#This Row],[Start Date]])</f>
        <v>2018</v>
      </c>
      <c r="D283" s="1" t="str">
        <f>IF(YEAR(yt_sports_channels_stats[[#This Row],[Start Date]])&lt;2011,"Old Gen",IF(AND(YEAR(yt_sports_channels_stats[[#This Row],[Start Date]]&gt;2011),YEAR(yt_sports_channels_stats[[#This Row],[Start Date]])&lt;2020),"Mid Gen","New Gen"))</f>
        <v>Mid Gen</v>
      </c>
      <c r="E283">
        <v>8646</v>
      </c>
      <c r="F283">
        <v>181602689</v>
      </c>
      <c r="G283">
        <f>yt_sports_channels_stats[[#This Row],[view_count]]/yt_sports_channels_stats[[#This Row],[video_count]]</f>
        <v>21004.243465186213</v>
      </c>
      <c r="H283" s="4">
        <f>yt_sports_channels_stats[[#This Row],[subscriber_count]]/yt_sports_channels_stats[[#This Row],[view_count]]</f>
        <v>3.2158114134532446E-3</v>
      </c>
      <c r="I283">
        <v>584000</v>
      </c>
    </row>
    <row r="284" spans="1:9" x14ac:dyDescent="0.25">
      <c r="A284" t="s">
        <v>274</v>
      </c>
      <c r="B284" s="1">
        <v>43960</v>
      </c>
      <c r="C284">
        <f>YEAR(yt_sports_channels_stats[[#This Row],[Start Date]])</f>
        <v>2020</v>
      </c>
      <c r="D284" s="1" t="str">
        <f>IF(YEAR(yt_sports_channels_stats[[#This Row],[Start Date]])&lt;2011,"Old Gen",IF(AND(YEAR(yt_sports_channels_stats[[#This Row],[Start Date]]&gt;2011),YEAR(yt_sports_channels_stats[[#This Row],[Start Date]])&lt;2020),"Mid Gen","New Gen"))</f>
        <v>New Gen</v>
      </c>
      <c r="E284">
        <v>20</v>
      </c>
      <c r="F284">
        <v>543911</v>
      </c>
      <c r="G284">
        <f>yt_sports_channels_stats[[#This Row],[view_count]]/yt_sports_channels_stats[[#This Row],[video_count]]</f>
        <v>27195.55</v>
      </c>
      <c r="H284" s="4">
        <f>yt_sports_channels_stats[[#This Row],[subscriber_count]]/yt_sports_channels_stats[[#This Row],[view_count]]</f>
        <v>3.2725942295706465E-3</v>
      </c>
      <c r="I284">
        <v>1780</v>
      </c>
    </row>
    <row r="285" spans="1:9" x14ac:dyDescent="0.25">
      <c r="A285" t="s">
        <v>275</v>
      </c>
      <c r="B285" s="1">
        <v>45308</v>
      </c>
      <c r="C285">
        <f>YEAR(yt_sports_channels_stats[[#This Row],[Start Date]])</f>
        <v>2024</v>
      </c>
      <c r="D285" s="1" t="str">
        <f>IF(YEAR(yt_sports_channels_stats[[#This Row],[Start Date]])&lt;2011,"Old Gen",IF(AND(YEAR(yt_sports_channels_stats[[#This Row],[Start Date]]&gt;2011),YEAR(yt_sports_channels_stats[[#This Row],[Start Date]])&lt;2020),"Mid Gen","New Gen"))</f>
        <v>New Gen</v>
      </c>
      <c r="E285">
        <v>6</v>
      </c>
      <c r="F285">
        <v>432</v>
      </c>
      <c r="G285">
        <f>yt_sports_channels_stats[[#This Row],[view_count]]/yt_sports_channels_stats[[#This Row],[video_count]]</f>
        <v>72</v>
      </c>
      <c r="H285" s="4">
        <f>yt_sports_channels_stats[[#This Row],[subscriber_count]]/yt_sports_channels_stats[[#This Row],[view_count]]</f>
        <v>0.14351851851851852</v>
      </c>
      <c r="I285">
        <v>62</v>
      </c>
    </row>
    <row r="286" spans="1:9" x14ac:dyDescent="0.25">
      <c r="A286" t="s">
        <v>481</v>
      </c>
      <c r="B286" s="1">
        <v>39570</v>
      </c>
      <c r="C286">
        <f>YEAR(yt_sports_channels_stats[[#This Row],[Start Date]])</f>
        <v>2008</v>
      </c>
      <c r="D286" s="1" t="str">
        <f>IF(YEAR(yt_sports_channels_stats[[#This Row],[Start Date]])&lt;2011,"Old Gen",IF(AND(YEAR(yt_sports_channels_stats[[#This Row],[Start Date]]&gt;2011),YEAR(yt_sports_channels_stats[[#This Row],[Start Date]])&lt;2020),"Mid Gen","New Gen"))</f>
        <v>Old Gen</v>
      </c>
      <c r="E286">
        <v>1712</v>
      </c>
      <c r="F286">
        <v>14123729</v>
      </c>
      <c r="G286">
        <f>yt_sports_channels_stats[[#This Row],[view_count]]/yt_sports_channels_stats[[#This Row],[video_count]]</f>
        <v>8249.8417056074759</v>
      </c>
      <c r="H286" s="4">
        <f>yt_sports_channels_stats[[#This Row],[subscriber_count]]/yt_sports_channels_stats[[#This Row],[view_count]]</f>
        <v>4.1844473226582014E-3</v>
      </c>
      <c r="I286">
        <v>59100</v>
      </c>
    </row>
    <row r="287" spans="1:9" x14ac:dyDescent="0.25">
      <c r="A287" t="s">
        <v>276</v>
      </c>
      <c r="B287" s="1">
        <v>44754</v>
      </c>
      <c r="C287">
        <f>YEAR(yt_sports_channels_stats[[#This Row],[Start Date]])</f>
        <v>2022</v>
      </c>
      <c r="D287" s="1" t="str">
        <f>IF(YEAR(yt_sports_channels_stats[[#This Row],[Start Date]])&lt;2011,"Old Gen",IF(AND(YEAR(yt_sports_channels_stats[[#This Row],[Start Date]]&gt;2011),YEAR(yt_sports_channels_stats[[#This Row],[Start Date]])&lt;2020),"Mid Gen","New Gen"))</f>
        <v>New Gen</v>
      </c>
      <c r="E287">
        <v>305</v>
      </c>
      <c r="F287">
        <v>352534</v>
      </c>
      <c r="G287">
        <f>yt_sports_channels_stats[[#This Row],[view_count]]/yt_sports_channels_stats[[#This Row],[video_count]]</f>
        <v>1155.8491803278689</v>
      </c>
      <c r="H287" s="4">
        <f>yt_sports_channels_stats[[#This Row],[subscriber_count]]/yt_sports_channels_stats[[#This Row],[view_count]]</f>
        <v>7.9141302682861799E-3</v>
      </c>
      <c r="I287">
        <v>2790</v>
      </c>
    </row>
    <row r="288" spans="1:9" x14ac:dyDescent="0.25">
      <c r="A288" t="s">
        <v>277</v>
      </c>
      <c r="B288" s="1">
        <v>44009</v>
      </c>
      <c r="C288">
        <f>YEAR(yt_sports_channels_stats[[#This Row],[Start Date]])</f>
        <v>2020</v>
      </c>
      <c r="D288" s="1" t="str">
        <f>IF(YEAR(yt_sports_channels_stats[[#This Row],[Start Date]])&lt;2011,"Old Gen",IF(AND(YEAR(yt_sports_channels_stats[[#This Row],[Start Date]]&gt;2011),YEAR(yt_sports_channels_stats[[#This Row],[Start Date]])&lt;2020),"Mid Gen","New Gen"))</f>
        <v>New Gen</v>
      </c>
      <c r="E288">
        <v>477</v>
      </c>
      <c r="F288">
        <v>903528</v>
      </c>
      <c r="G288">
        <f>yt_sports_channels_stats[[#This Row],[view_count]]/yt_sports_channels_stats[[#This Row],[video_count]]</f>
        <v>1894.1886792452831</v>
      </c>
      <c r="H288" s="4">
        <f>yt_sports_channels_stats[[#This Row],[subscriber_count]]/yt_sports_channels_stats[[#This Row],[view_count]]</f>
        <v>8.7656386963104634E-3</v>
      </c>
      <c r="I288">
        <v>7920</v>
      </c>
    </row>
    <row r="289" spans="1:9" x14ac:dyDescent="0.25">
      <c r="A289" t="s">
        <v>278</v>
      </c>
      <c r="B289" s="1">
        <v>44604</v>
      </c>
      <c r="C289">
        <f>YEAR(yt_sports_channels_stats[[#This Row],[Start Date]])</f>
        <v>2022</v>
      </c>
      <c r="D289" s="1" t="str">
        <f>IF(YEAR(yt_sports_channels_stats[[#This Row],[Start Date]])&lt;2011,"Old Gen",IF(AND(YEAR(yt_sports_channels_stats[[#This Row],[Start Date]]&gt;2011),YEAR(yt_sports_channels_stats[[#This Row],[Start Date]])&lt;2020),"Mid Gen","New Gen"))</f>
        <v>New Gen</v>
      </c>
      <c r="E289">
        <v>898</v>
      </c>
      <c r="F289">
        <v>3869792</v>
      </c>
      <c r="G289">
        <f>yt_sports_channels_stats[[#This Row],[view_count]]/yt_sports_channels_stats[[#This Row],[video_count]]</f>
        <v>4309.3452115812916</v>
      </c>
      <c r="H289" s="4">
        <f>yt_sports_channels_stats[[#This Row],[subscriber_count]]/yt_sports_channels_stats[[#This Row],[view_count]]</f>
        <v>7.0804839123136338E-3</v>
      </c>
      <c r="I289">
        <v>27400</v>
      </c>
    </row>
    <row r="290" spans="1:9" x14ac:dyDescent="0.25">
      <c r="A290" t="s">
        <v>279</v>
      </c>
      <c r="B290" s="1">
        <v>45245</v>
      </c>
      <c r="C290">
        <f>YEAR(yt_sports_channels_stats[[#This Row],[Start Date]])</f>
        <v>2023</v>
      </c>
      <c r="D290" s="1" t="str">
        <f>IF(YEAR(yt_sports_channels_stats[[#This Row],[Start Date]])&lt;2011,"Old Gen",IF(AND(YEAR(yt_sports_channels_stats[[#This Row],[Start Date]]&gt;2011),YEAR(yt_sports_channels_stats[[#This Row],[Start Date]])&lt;2020),"Mid Gen","New Gen"))</f>
        <v>New Gen</v>
      </c>
      <c r="E290">
        <v>269</v>
      </c>
      <c r="F290">
        <v>152540</v>
      </c>
      <c r="G290">
        <f>yt_sports_channels_stats[[#This Row],[view_count]]/yt_sports_channels_stats[[#This Row],[video_count]]</f>
        <v>567.06319702602229</v>
      </c>
      <c r="H290" s="4">
        <f>yt_sports_channels_stats[[#This Row],[subscriber_count]]/yt_sports_channels_stats[[#This Row],[view_count]]</f>
        <v>1.3832437393470565E-2</v>
      </c>
      <c r="I290">
        <v>2110</v>
      </c>
    </row>
    <row r="291" spans="1:9" x14ac:dyDescent="0.25">
      <c r="A291" t="s">
        <v>280</v>
      </c>
      <c r="B291" s="1">
        <v>42522</v>
      </c>
      <c r="C291">
        <f>YEAR(yt_sports_channels_stats[[#This Row],[Start Date]])</f>
        <v>2016</v>
      </c>
      <c r="D291" s="1" t="str">
        <f>IF(YEAR(yt_sports_channels_stats[[#This Row],[Start Date]])&lt;2011,"Old Gen",IF(AND(YEAR(yt_sports_channels_stats[[#This Row],[Start Date]]&gt;2011),YEAR(yt_sports_channels_stats[[#This Row],[Start Date]])&lt;2020),"Mid Gen","New Gen"))</f>
        <v>Mid Gen</v>
      </c>
      <c r="E291">
        <v>7</v>
      </c>
      <c r="F291">
        <v>355554</v>
      </c>
      <c r="G291">
        <f>yt_sports_channels_stats[[#This Row],[view_count]]/yt_sports_channels_stats[[#This Row],[video_count]]</f>
        <v>50793.428571428572</v>
      </c>
      <c r="H291" s="4">
        <f>yt_sports_channels_stats[[#This Row],[subscriber_count]]/yt_sports_channels_stats[[#This Row],[view_count]]</f>
        <v>4.2187684571119996E-3</v>
      </c>
      <c r="I291">
        <v>1500</v>
      </c>
    </row>
    <row r="292" spans="1:9" x14ac:dyDescent="0.25">
      <c r="A292" t="s">
        <v>281</v>
      </c>
      <c r="B292" s="1">
        <v>45292</v>
      </c>
      <c r="C292">
        <f>YEAR(yt_sports_channels_stats[[#This Row],[Start Date]])</f>
        <v>2024</v>
      </c>
      <c r="D292" s="1" t="str">
        <f>IF(YEAR(yt_sports_channels_stats[[#This Row],[Start Date]])&lt;2011,"Old Gen",IF(AND(YEAR(yt_sports_channels_stats[[#This Row],[Start Date]]&gt;2011),YEAR(yt_sports_channels_stats[[#This Row],[Start Date]])&lt;2020),"Mid Gen","New Gen"))</f>
        <v>New Gen</v>
      </c>
      <c r="E292">
        <v>213</v>
      </c>
      <c r="F292">
        <v>206891</v>
      </c>
      <c r="G292">
        <f>yt_sports_channels_stats[[#This Row],[view_count]]/yt_sports_channels_stats[[#This Row],[video_count]]</f>
        <v>971.31924882629107</v>
      </c>
      <c r="H292" s="4">
        <f>yt_sports_channels_stats[[#This Row],[subscriber_count]]/yt_sports_channels_stats[[#This Row],[view_count]]</f>
        <v>3.9972739268503707E-3</v>
      </c>
      <c r="I292">
        <v>827</v>
      </c>
    </row>
    <row r="293" spans="1:9" x14ac:dyDescent="0.25">
      <c r="A293" t="s">
        <v>282</v>
      </c>
      <c r="B293" s="1">
        <v>42426</v>
      </c>
      <c r="C293">
        <f>YEAR(yt_sports_channels_stats[[#This Row],[Start Date]])</f>
        <v>2016</v>
      </c>
      <c r="D293" s="1" t="str">
        <f>IF(YEAR(yt_sports_channels_stats[[#This Row],[Start Date]])&lt;2011,"Old Gen",IF(AND(YEAR(yt_sports_channels_stats[[#This Row],[Start Date]]&gt;2011),YEAR(yt_sports_channels_stats[[#This Row],[Start Date]])&lt;2020),"Mid Gen","New Gen"))</f>
        <v>Mid Gen</v>
      </c>
      <c r="E293">
        <v>75</v>
      </c>
      <c r="F293">
        <v>3819704</v>
      </c>
      <c r="G293">
        <f>yt_sports_channels_stats[[#This Row],[view_count]]/yt_sports_channels_stats[[#This Row],[video_count]]</f>
        <v>50929.386666666665</v>
      </c>
      <c r="H293" s="4">
        <f>yt_sports_channels_stats[[#This Row],[subscriber_count]]/yt_sports_channels_stats[[#This Row],[view_count]]</f>
        <v>8.0372719980396391E-4</v>
      </c>
      <c r="I293">
        <v>3070</v>
      </c>
    </row>
    <row r="294" spans="1:9" x14ac:dyDescent="0.25">
      <c r="A294" t="s">
        <v>283</v>
      </c>
      <c r="B294" s="1">
        <v>44353</v>
      </c>
      <c r="C294">
        <f>YEAR(yt_sports_channels_stats[[#This Row],[Start Date]])</f>
        <v>2021</v>
      </c>
      <c r="D294" s="1" t="str">
        <f>IF(YEAR(yt_sports_channels_stats[[#This Row],[Start Date]])&lt;2011,"Old Gen",IF(AND(YEAR(yt_sports_channels_stats[[#This Row],[Start Date]]&gt;2011),YEAR(yt_sports_channels_stats[[#This Row],[Start Date]])&lt;2020),"Mid Gen","New Gen"))</f>
        <v>New Gen</v>
      </c>
      <c r="E294">
        <v>158</v>
      </c>
      <c r="F294">
        <v>7121</v>
      </c>
      <c r="G294">
        <f>yt_sports_channels_stats[[#This Row],[view_count]]/yt_sports_channels_stats[[#This Row],[video_count]]</f>
        <v>45.069620253164558</v>
      </c>
      <c r="H294" s="4">
        <f>yt_sports_channels_stats[[#This Row],[subscriber_count]]/yt_sports_channels_stats[[#This Row],[view_count]]</f>
        <v>6.0384777418901843E-3</v>
      </c>
      <c r="I294">
        <v>43</v>
      </c>
    </row>
    <row r="295" spans="1:9" x14ac:dyDescent="0.25">
      <c r="A295" t="s">
        <v>284</v>
      </c>
      <c r="B295" s="1">
        <v>44619</v>
      </c>
      <c r="C295">
        <f>YEAR(yt_sports_channels_stats[[#This Row],[Start Date]])</f>
        <v>2022</v>
      </c>
      <c r="D295" s="1" t="str">
        <f>IF(YEAR(yt_sports_channels_stats[[#This Row],[Start Date]])&lt;2011,"Old Gen",IF(AND(YEAR(yt_sports_channels_stats[[#This Row],[Start Date]]&gt;2011),YEAR(yt_sports_channels_stats[[#This Row],[Start Date]])&lt;2020),"Mid Gen","New Gen"))</f>
        <v>New Gen</v>
      </c>
      <c r="E295">
        <v>1410</v>
      </c>
      <c r="F295">
        <v>2131124</v>
      </c>
      <c r="G295">
        <f>yt_sports_channels_stats[[#This Row],[view_count]]/yt_sports_channels_stats[[#This Row],[video_count]]</f>
        <v>1511.4354609929078</v>
      </c>
      <c r="H295" s="4">
        <f>yt_sports_channels_stats[[#This Row],[subscriber_count]]/yt_sports_channels_stats[[#This Row],[view_count]]</f>
        <v>9.9478021926457591E-3</v>
      </c>
      <c r="I295">
        <v>21200</v>
      </c>
    </row>
    <row r="296" spans="1:9" x14ac:dyDescent="0.25">
      <c r="A296" t="s">
        <v>285</v>
      </c>
      <c r="B296" s="1">
        <v>44971</v>
      </c>
      <c r="C296">
        <f>YEAR(yt_sports_channels_stats[[#This Row],[Start Date]])</f>
        <v>2023</v>
      </c>
      <c r="D296" s="1" t="str">
        <f>IF(YEAR(yt_sports_channels_stats[[#This Row],[Start Date]])&lt;2011,"Old Gen",IF(AND(YEAR(yt_sports_channels_stats[[#This Row],[Start Date]]&gt;2011),YEAR(yt_sports_channels_stats[[#This Row],[Start Date]])&lt;2020),"Mid Gen","New Gen"))</f>
        <v>New Gen</v>
      </c>
      <c r="E296">
        <v>295</v>
      </c>
      <c r="F296">
        <v>212504</v>
      </c>
      <c r="G296">
        <f>yt_sports_channels_stats[[#This Row],[view_count]]/yt_sports_channels_stats[[#This Row],[video_count]]</f>
        <v>720.35254237288132</v>
      </c>
      <c r="H296" s="4">
        <f>yt_sports_channels_stats[[#This Row],[subscriber_count]]/yt_sports_channels_stats[[#This Row],[view_count]]</f>
        <v>7.5292700372698871E-3</v>
      </c>
      <c r="I296">
        <v>1600</v>
      </c>
    </row>
    <row r="297" spans="1:9" x14ac:dyDescent="0.25">
      <c r="A297" t="s">
        <v>286</v>
      </c>
      <c r="B297" s="1">
        <v>44284</v>
      </c>
      <c r="C297">
        <f>YEAR(yt_sports_channels_stats[[#This Row],[Start Date]])</f>
        <v>2021</v>
      </c>
      <c r="D297" s="1" t="str">
        <f>IF(YEAR(yt_sports_channels_stats[[#This Row],[Start Date]])&lt;2011,"Old Gen",IF(AND(YEAR(yt_sports_channels_stats[[#This Row],[Start Date]]&gt;2011),YEAR(yt_sports_channels_stats[[#This Row],[Start Date]])&lt;2020),"Mid Gen","New Gen"))</f>
        <v>New Gen</v>
      </c>
      <c r="E297">
        <v>94</v>
      </c>
      <c r="F297">
        <v>1877500</v>
      </c>
      <c r="G297">
        <f>yt_sports_channels_stats[[#This Row],[view_count]]/yt_sports_channels_stats[[#This Row],[video_count]]</f>
        <v>19973.40425531915</v>
      </c>
      <c r="H297" s="4">
        <f>yt_sports_channels_stats[[#This Row],[subscriber_count]]/yt_sports_channels_stats[[#This Row],[view_count]]</f>
        <v>1.0812250332889481E-2</v>
      </c>
      <c r="I297">
        <v>20300</v>
      </c>
    </row>
    <row r="298" spans="1:9" x14ac:dyDescent="0.25">
      <c r="A298" t="s">
        <v>287</v>
      </c>
      <c r="B298" s="1">
        <v>44846</v>
      </c>
      <c r="C298">
        <f>YEAR(yt_sports_channels_stats[[#This Row],[Start Date]])</f>
        <v>2022</v>
      </c>
      <c r="D298" s="1" t="str">
        <f>IF(YEAR(yt_sports_channels_stats[[#This Row],[Start Date]])&lt;2011,"Old Gen",IF(AND(YEAR(yt_sports_channels_stats[[#This Row],[Start Date]]&gt;2011),YEAR(yt_sports_channels_stats[[#This Row],[Start Date]])&lt;2020),"Mid Gen","New Gen"))</f>
        <v>New Gen</v>
      </c>
      <c r="E298">
        <v>265</v>
      </c>
      <c r="F298">
        <v>14542787</v>
      </c>
      <c r="G298">
        <f>yt_sports_channels_stats[[#This Row],[view_count]]/yt_sports_channels_stats[[#This Row],[video_count]]</f>
        <v>54878.441509433964</v>
      </c>
      <c r="H298" s="4">
        <f>yt_sports_channels_stats[[#This Row],[subscriber_count]]/yt_sports_channels_stats[[#This Row],[view_count]]</f>
        <v>3.2868527882585368E-3</v>
      </c>
      <c r="I298">
        <v>47800</v>
      </c>
    </row>
    <row r="299" spans="1:9" x14ac:dyDescent="0.25">
      <c r="A299" t="s">
        <v>288</v>
      </c>
      <c r="B299" s="1">
        <v>45006</v>
      </c>
      <c r="C299">
        <f>YEAR(yt_sports_channels_stats[[#This Row],[Start Date]])</f>
        <v>2023</v>
      </c>
      <c r="D299" s="1" t="str">
        <f>IF(YEAR(yt_sports_channels_stats[[#This Row],[Start Date]])&lt;2011,"Old Gen",IF(AND(YEAR(yt_sports_channels_stats[[#This Row],[Start Date]]&gt;2011),YEAR(yt_sports_channels_stats[[#This Row],[Start Date]])&lt;2020),"Mid Gen","New Gen"))</f>
        <v>New Gen</v>
      </c>
      <c r="E299">
        <v>1057</v>
      </c>
      <c r="F299">
        <v>289359</v>
      </c>
      <c r="G299">
        <f>yt_sports_channels_stats[[#This Row],[view_count]]/yt_sports_channels_stats[[#This Row],[video_count]]</f>
        <v>273.7549668874172</v>
      </c>
      <c r="H299" s="4">
        <f>yt_sports_channels_stats[[#This Row],[subscriber_count]]/yt_sports_channels_stats[[#This Row],[view_count]]</f>
        <v>6.3934420564074387E-3</v>
      </c>
      <c r="I299">
        <v>1850</v>
      </c>
    </row>
    <row r="300" spans="1:9" x14ac:dyDescent="0.25">
      <c r="A300" t="s">
        <v>289</v>
      </c>
      <c r="B300" s="1">
        <v>45337</v>
      </c>
      <c r="C300">
        <f>YEAR(yt_sports_channels_stats[[#This Row],[Start Date]])</f>
        <v>2024</v>
      </c>
      <c r="D300" s="1" t="str">
        <f>IF(YEAR(yt_sports_channels_stats[[#This Row],[Start Date]])&lt;2011,"Old Gen",IF(AND(YEAR(yt_sports_channels_stats[[#This Row],[Start Date]]&gt;2011),YEAR(yt_sports_channels_stats[[#This Row],[Start Date]])&lt;2020),"Mid Gen","New Gen"))</f>
        <v>New Gen</v>
      </c>
      <c r="E300">
        <v>16</v>
      </c>
      <c r="F300">
        <v>17780</v>
      </c>
      <c r="G300">
        <f>yt_sports_channels_stats[[#This Row],[view_count]]/yt_sports_channels_stats[[#This Row],[video_count]]</f>
        <v>1111.25</v>
      </c>
      <c r="H300" s="4">
        <f>yt_sports_channels_stats[[#This Row],[subscriber_count]]/yt_sports_channels_stats[[#This Row],[view_count]]</f>
        <v>2.3284589426321708E-2</v>
      </c>
      <c r="I300">
        <v>414</v>
      </c>
    </row>
    <row r="301" spans="1:9" x14ac:dyDescent="0.25">
      <c r="A301" t="s">
        <v>290</v>
      </c>
      <c r="B301" s="1">
        <v>44045</v>
      </c>
      <c r="C301">
        <f>YEAR(yt_sports_channels_stats[[#This Row],[Start Date]])</f>
        <v>2020</v>
      </c>
      <c r="D301" s="1" t="str">
        <f>IF(YEAR(yt_sports_channels_stats[[#This Row],[Start Date]])&lt;2011,"Old Gen",IF(AND(YEAR(yt_sports_channels_stats[[#This Row],[Start Date]]&gt;2011),YEAR(yt_sports_channels_stats[[#This Row],[Start Date]])&lt;2020),"Mid Gen","New Gen"))</f>
        <v>New Gen</v>
      </c>
      <c r="E301">
        <v>859</v>
      </c>
      <c r="F301">
        <v>527372</v>
      </c>
      <c r="G301">
        <f>yt_sports_channels_stats[[#This Row],[view_count]]/yt_sports_channels_stats[[#This Row],[video_count]]</f>
        <v>613.93713620488938</v>
      </c>
      <c r="H301" s="4">
        <f>yt_sports_channels_stats[[#This Row],[subscriber_count]]/yt_sports_channels_stats[[#This Row],[view_count]]</f>
        <v>9.1965443747487538E-3</v>
      </c>
      <c r="I301">
        <v>4850</v>
      </c>
    </row>
    <row r="302" spans="1:9" x14ac:dyDescent="0.25">
      <c r="A302" t="s">
        <v>291</v>
      </c>
      <c r="B302" s="1">
        <v>45222</v>
      </c>
      <c r="C302">
        <f>YEAR(yt_sports_channels_stats[[#This Row],[Start Date]])</f>
        <v>2023</v>
      </c>
      <c r="D302" s="1" t="str">
        <f>IF(YEAR(yt_sports_channels_stats[[#This Row],[Start Date]])&lt;2011,"Old Gen",IF(AND(YEAR(yt_sports_channels_stats[[#This Row],[Start Date]]&gt;2011),YEAR(yt_sports_channels_stats[[#This Row],[Start Date]])&lt;2020),"Mid Gen","New Gen"))</f>
        <v>New Gen</v>
      </c>
      <c r="E302">
        <v>536</v>
      </c>
      <c r="F302">
        <v>676989</v>
      </c>
      <c r="G302">
        <f>yt_sports_channels_stats[[#This Row],[view_count]]/yt_sports_channels_stats[[#This Row],[video_count]]</f>
        <v>1263.0391791044776</v>
      </c>
      <c r="H302" s="4">
        <f>yt_sports_channels_stats[[#This Row],[subscriber_count]]/yt_sports_channels_stats[[#This Row],[view_count]]</f>
        <v>5.6130897252392583E-3</v>
      </c>
      <c r="I302">
        <v>3800</v>
      </c>
    </row>
    <row r="303" spans="1:9" x14ac:dyDescent="0.25">
      <c r="A303" t="s">
        <v>292</v>
      </c>
      <c r="B303" s="1">
        <v>42878</v>
      </c>
      <c r="C303">
        <f>YEAR(yt_sports_channels_stats[[#This Row],[Start Date]])</f>
        <v>2017</v>
      </c>
      <c r="D303" s="1" t="str">
        <f>IF(YEAR(yt_sports_channels_stats[[#This Row],[Start Date]])&lt;2011,"Old Gen",IF(AND(YEAR(yt_sports_channels_stats[[#This Row],[Start Date]]&gt;2011),YEAR(yt_sports_channels_stats[[#This Row],[Start Date]])&lt;2020),"Mid Gen","New Gen"))</f>
        <v>Mid Gen</v>
      </c>
      <c r="E303">
        <v>11</v>
      </c>
      <c r="F303">
        <v>591056</v>
      </c>
      <c r="G303">
        <f>yt_sports_channels_stats[[#This Row],[view_count]]/yt_sports_channels_stats[[#This Row],[video_count]]</f>
        <v>53732.36363636364</v>
      </c>
      <c r="H303" s="4">
        <f>yt_sports_channels_stats[[#This Row],[subscriber_count]]/yt_sports_channels_stats[[#This Row],[view_count]]</f>
        <v>3.8744213746244012E-3</v>
      </c>
      <c r="I303">
        <v>2290</v>
      </c>
    </row>
    <row r="304" spans="1:9" x14ac:dyDescent="0.25">
      <c r="A304" t="s">
        <v>286</v>
      </c>
      <c r="B304" s="1">
        <v>44284</v>
      </c>
      <c r="C304">
        <f>YEAR(yt_sports_channels_stats[[#This Row],[Start Date]])</f>
        <v>2021</v>
      </c>
      <c r="D304" s="1" t="str">
        <f>IF(YEAR(yt_sports_channels_stats[[#This Row],[Start Date]])&lt;2011,"Old Gen",IF(AND(YEAR(yt_sports_channels_stats[[#This Row],[Start Date]]&gt;2011),YEAR(yt_sports_channels_stats[[#This Row],[Start Date]])&lt;2020),"Mid Gen","New Gen"))</f>
        <v>New Gen</v>
      </c>
      <c r="E304">
        <v>94</v>
      </c>
      <c r="F304">
        <v>1877500</v>
      </c>
      <c r="G304">
        <f>yt_sports_channels_stats[[#This Row],[view_count]]/yt_sports_channels_stats[[#This Row],[video_count]]</f>
        <v>19973.40425531915</v>
      </c>
      <c r="H304" s="4">
        <f>yt_sports_channels_stats[[#This Row],[subscriber_count]]/yt_sports_channels_stats[[#This Row],[view_count]]</f>
        <v>1.0812250332889481E-2</v>
      </c>
      <c r="I304">
        <v>20300</v>
      </c>
    </row>
    <row r="305" spans="1:9" x14ac:dyDescent="0.25">
      <c r="A305" t="s">
        <v>293</v>
      </c>
      <c r="B305" s="1">
        <v>42911</v>
      </c>
      <c r="C305">
        <f>YEAR(yt_sports_channels_stats[[#This Row],[Start Date]])</f>
        <v>2017</v>
      </c>
      <c r="D305" s="1" t="str">
        <f>IF(YEAR(yt_sports_channels_stats[[#This Row],[Start Date]])&lt;2011,"Old Gen",IF(AND(YEAR(yt_sports_channels_stats[[#This Row],[Start Date]]&gt;2011),YEAR(yt_sports_channels_stats[[#This Row],[Start Date]])&lt;2020),"Mid Gen","New Gen"))</f>
        <v>Mid Gen</v>
      </c>
      <c r="E305">
        <v>9136</v>
      </c>
      <c r="F305">
        <v>204996517</v>
      </c>
      <c r="G305">
        <f>yt_sports_channels_stats[[#This Row],[view_count]]/yt_sports_channels_stats[[#This Row],[video_count]]</f>
        <v>22438.322788966725</v>
      </c>
      <c r="H305" s="4">
        <f>yt_sports_channels_stats[[#This Row],[subscriber_count]]/yt_sports_channels_stats[[#This Row],[view_count]]</f>
        <v>1.2390454419281671E-3</v>
      </c>
      <c r="I305">
        <v>254000</v>
      </c>
    </row>
    <row r="306" spans="1:9" x14ac:dyDescent="0.25">
      <c r="A306" t="s">
        <v>482</v>
      </c>
      <c r="B306" s="1">
        <v>44969</v>
      </c>
      <c r="C306">
        <f>YEAR(yt_sports_channels_stats[[#This Row],[Start Date]])</f>
        <v>2023</v>
      </c>
      <c r="D306" s="1" t="str">
        <f>IF(YEAR(yt_sports_channels_stats[[#This Row],[Start Date]])&lt;2011,"Old Gen",IF(AND(YEAR(yt_sports_channels_stats[[#This Row],[Start Date]]&gt;2011),YEAR(yt_sports_channels_stats[[#This Row],[Start Date]])&lt;2020),"Mid Gen","New Gen"))</f>
        <v>New Gen</v>
      </c>
      <c r="E306">
        <v>961</v>
      </c>
      <c r="F306">
        <v>242963</v>
      </c>
      <c r="G306">
        <f>yt_sports_channels_stats[[#This Row],[view_count]]/yt_sports_channels_stats[[#This Row],[video_count]]</f>
        <v>252.82310093652444</v>
      </c>
      <c r="H306" s="4">
        <f>yt_sports_channels_stats[[#This Row],[subscriber_count]]/yt_sports_channels_stats[[#This Row],[view_count]]</f>
        <v>4.1158530311199652E-3</v>
      </c>
      <c r="I306">
        <v>1000</v>
      </c>
    </row>
    <row r="307" spans="1:9" x14ac:dyDescent="0.25">
      <c r="A307" t="s">
        <v>294</v>
      </c>
      <c r="B307" s="1">
        <v>42707</v>
      </c>
      <c r="C307">
        <f>YEAR(yt_sports_channels_stats[[#This Row],[Start Date]])</f>
        <v>2016</v>
      </c>
      <c r="D307" s="1" t="str">
        <f>IF(YEAR(yt_sports_channels_stats[[#This Row],[Start Date]])&lt;2011,"Old Gen",IF(AND(YEAR(yt_sports_channels_stats[[#This Row],[Start Date]]&gt;2011),YEAR(yt_sports_channels_stats[[#This Row],[Start Date]])&lt;2020),"Mid Gen","New Gen"))</f>
        <v>Mid Gen</v>
      </c>
      <c r="E307">
        <v>96</v>
      </c>
      <c r="F307">
        <v>184150</v>
      </c>
      <c r="G307">
        <f>yt_sports_channels_stats[[#This Row],[view_count]]/yt_sports_channels_stats[[#This Row],[video_count]]</f>
        <v>1918.2291666666667</v>
      </c>
      <c r="H307" s="4">
        <f>yt_sports_channels_stats[[#This Row],[subscriber_count]]/yt_sports_channels_stats[[#This Row],[view_count]]</f>
        <v>2.2210154765137115E-3</v>
      </c>
      <c r="I307">
        <v>409</v>
      </c>
    </row>
    <row r="308" spans="1:9" x14ac:dyDescent="0.25">
      <c r="A308" t="s">
        <v>295</v>
      </c>
      <c r="B308" s="1">
        <v>44244</v>
      </c>
      <c r="C308">
        <f>YEAR(yt_sports_channels_stats[[#This Row],[Start Date]])</f>
        <v>2021</v>
      </c>
      <c r="D308" s="1" t="str">
        <f>IF(YEAR(yt_sports_channels_stats[[#This Row],[Start Date]])&lt;2011,"Old Gen",IF(AND(YEAR(yt_sports_channels_stats[[#This Row],[Start Date]]&gt;2011),YEAR(yt_sports_channels_stats[[#This Row],[Start Date]])&lt;2020),"Mid Gen","New Gen"))</f>
        <v>New Gen</v>
      </c>
      <c r="E308">
        <v>3</v>
      </c>
      <c r="F308">
        <v>231</v>
      </c>
      <c r="G308">
        <f>yt_sports_channels_stats[[#This Row],[view_count]]/yt_sports_channels_stats[[#This Row],[video_count]]</f>
        <v>77</v>
      </c>
      <c r="H308" s="4">
        <f>yt_sports_channels_stats[[#This Row],[subscriber_count]]/yt_sports_channels_stats[[#This Row],[view_count]]</f>
        <v>0.25108225108225107</v>
      </c>
      <c r="I308">
        <v>58</v>
      </c>
    </row>
    <row r="309" spans="1:9" x14ac:dyDescent="0.25">
      <c r="A309" t="s">
        <v>296</v>
      </c>
      <c r="B309" s="1">
        <v>44860</v>
      </c>
      <c r="C309">
        <f>YEAR(yt_sports_channels_stats[[#This Row],[Start Date]])</f>
        <v>2022</v>
      </c>
      <c r="D309" s="1" t="str">
        <f>IF(YEAR(yt_sports_channels_stats[[#This Row],[Start Date]])&lt;2011,"Old Gen",IF(AND(YEAR(yt_sports_channels_stats[[#This Row],[Start Date]]&gt;2011),YEAR(yt_sports_channels_stats[[#This Row],[Start Date]])&lt;2020),"Mid Gen","New Gen"))</f>
        <v>New Gen</v>
      </c>
      <c r="E309">
        <v>916</v>
      </c>
      <c r="F309">
        <v>1641760</v>
      </c>
      <c r="G309">
        <f>yt_sports_channels_stats[[#This Row],[view_count]]/yt_sports_channels_stats[[#This Row],[video_count]]</f>
        <v>1792.3144104803494</v>
      </c>
      <c r="H309" s="4">
        <f>yt_sports_channels_stats[[#This Row],[subscriber_count]]/yt_sports_channels_stats[[#This Row],[view_count]]</f>
        <v>6.1519345093070847E-3</v>
      </c>
      <c r="I309">
        <v>10100</v>
      </c>
    </row>
    <row r="310" spans="1:9" x14ac:dyDescent="0.25">
      <c r="A310" t="s">
        <v>483</v>
      </c>
      <c r="B310" s="1">
        <v>42099</v>
      </c>
      <c r="C310">
        <f>YEAR(yt_sports_channels_stats[[#This Row],[Start Date]])</f>
        <v>2015</v>
      </c>
      <c r="D310" s="1" t="str">
        <f>IF(YEAR(yt_sports_channels_stats[[#This Row],[Start Date]])&lt;2011,"Old Gen",IF(AND(YEAR(yt_sports_channels_stats[[#This Row],[Start Date]]&gt;2011),YEAR(yt_sports_channels_stats[[#This Row],[Start Date]])&lt;2020),"Mid Gen","New Gen"))</f>
        <v>Mid Gen</v>
      </c>
      <c r="E310">
        <v>81</v>
      </c>
      <c r="F310">
        <v>780034</v>
      </c>
      <c r="G310">
        <f>yt_sports_channels_stats[[#This Row],[view_count]]/yt_sports_channels_stats[[#This Row],[video_count]]</f>
        <v>9630.0493827160499</v>
      </c>
      <c r="H310" s="4">
        <f>yt_sports_channels_stats[[#This Row],[subscriber_count]]/yt_sports_channels_stats[[#This Row],[view_count]]</f>
        <v>1.1127720073740376E-2</v>
      </c>
      <c r="I310">
        <v>8680</v>
      </c>
    </row>
    <row r="311" spans="1:9" x14ac:dyDescent="0.25">
      <c r="A311" t="s">
        <v>297</v>
      </c>
      <c r="B311" s="1">
        <v>44292</v>
      </c>
      <c r="C311">
        <f>YEAR(yt_sports_channels_stats[[#This Row],[Start Date]])</f>
        <v>2021</v>
      </c>
      <c r="D311" s="1" t="str">
        <f>IF(YEAR(yt_sports_channels_stats[[#This Row],[Start Date]])&lt;2011,"Old Gen",IF(AND(YEAR(yt_sports_channels_stats[[#This Row],[Start Date]]&gt;2011),YEAR(yt_sports_channels_stats[[#This Row],[Start Date]])&lt;2020),"Mid Gen","New Gen"))</f>
        <v>New Gen</v>
      </c>
      <c r="E311">
        <v>48</v>
      </c>
      <c r="F311">
        <v>41714</v>
      </c>
      <c r="G311">
        <f>yt_sports_channels_stats[[#This Row],[view_count]]/yt_sports_channels_stats[[#This Row],[video_count]]</f>
        <v>869.04166666666663</v>
      </c>
      <c r="H311" s="4">
        <f>yt_sports_channels_stats[[#This Row],[subscriber_count]]/yt_sports_channels_stats[[#This Row],[view_count]]</f>
        <v>6.1610011027472787E-3</v>
      </c>
      <c r="I311">
        <v>257</v>
      </c>
    </row>
    <row r="312" spans="1:9" x14ac:dyDescent="0.25">
      <c r="A312" t="s">
        <v>298</v>
      </c>
      <c r="B312" s="1">
        <v>44570</v>
      </c>
      <c r="C312">
        <f>YEAR(yt_sports_channels_stats[[#This Row],[Start Date]])</f>
        <v>2022</v>
      </c>
      <c r="D312" s="1" t="str">
        <f>IF(YEAR(yt_sports_channels_stats[[#This Row],[Start Date]])&lt;2011,"Old Gen",IF(AND(YEAR(yt_sports_channels_stats[[#This Row],[Start Date]]&gt;2011),YEAR(yt_sports_channels_stats[[#This Row],[Start Date]])&lt;2020),"Mid Gen","New Gen"))</f>
        <v>New Gen</v>
      </c>
      <c r="E312">
        <v>18</v>
      </c>
      <c r="F312">
        <v>17918</v>
      </c>
      <c r="G312">
        <f>yt_sports_channels_stats[[#This Row],[view_count]]/yt_sports_channels_stats[[#This Row],[video_count]]</f>
        <v>995.44444444444446</v>
      </c>
      <c r="H312" s="4">
        <f>yt_sports_channels_stats[[#This Row],[subscriber_count]]/yt_sports_channels_stats[[#This Row],[view_count]]</f>
        <v>3.2481303716932697E-2</v>
      </c>
      <c r="I312">
        <v>582</v>
      </c>
    </row>
    <row r="313" spans="1:9" x14ac:dyDescent="0.25">
      <c r="A313" t="s">
        <v>299</v>
      </c>
      <c r="B313" s="1">
        <v>44639</v>
      </c>
      <c r="C313">
        <f>YEAR(yt_sports_channels_stats[[#This Row],[Start Date]])</f>
        <v>2022</v>
      </c>
      <c r="D313" s="1" t="str">
        <f>IF(YEAR(yt_sports_channels_stats[[#This Row],[Start Date]])&lt;2011,"Old Gen",IF(AND(YEAR(yt_sports_channels_stats[[#This Row],[Start Date]]&gt;2011),YEAR(yt_sports_channels_stats[[#This Row],[Start Date]])&lt;2020),"Mid Gen","New Gen"))</f>
        <v>New Gen</v>
      </c>
      <c r="E313">
        <v>3698</v>
      </c>
      <c r="F313">
        <v>3289430</v>
      </c>
      <c r="G313">
        <f>yt_sports_channels_stats[[#This Row],[view_count]]/yt_sports_channels_stats[[#This Row],[video_count]]</f>
        <v>889.51595457003782</v>
      </c>
      <c r="H313" s="4">
        <f>yt_sports_channels_stats[[#This Row],[subscriber_count]]/yt_sports_channels_stats[[#This Row],[view_count]]</f>
        <v>4.955265805929903E-3</v>
      </c>
      <c r="I313">
        <v>16300</v>
      </c>
    </row>
    <row r="314" spans="1:9" x14ac:dyDescent="0.25">
      <c r="A314" t="s">
        <v>300</v>
      </c>
      <c r="B314" s="1">
        <v>45274</v>
      </c>
      <c r="C314">
        <f>YEAR(yt_sports_channels_stats[[#This Row],[Start Date]])</f>
        <v>2023</v>
      </c>
      <c r="D314" s="1" t="str">
        <f>IF(YEAR(yt_sports_channels_stats[[#This Row],[Start Date]])&lt;2011,"Old Gen",IF(AND(YEAR(yt_sports_channels_stats[[#This Row],[Start Date]]&gt;2011),YEAR(yt_sports_channels_stats[[#This Row],[Start Date]])&lt;2020),"Mid Gen","New Gen"))</f>
        <v>New Gen</v>
      </c>
      <c r="E314">
        <v>179</v>
      </c>
      <c r="F314">
        <v>1365492</v>
      </c>
      <c r="G314">
        <f>yt_sports_channels_stats[[#This Row],[view_count]]/yt_sports_channels_stats[[#This Row],[video_count]]</f>
        <v>7628.4469273743016</v>
      </c>
      <c r="H314" s="4">
        <f>yt_sports_channels_stats[[#This Row],[subscriber_count]]/yt_sports_channels_stats[[#This Row],[view_count]]</f>
        <v>2.2629206176235379E-2</v>
      </c>
      <c r="I314">
        <v>30900</v>
      </c>
    </row>
    <row r="315" spans="1:9" x14ac:dyDescent="0.25">
      <c r="A315" t="s">
        <v>301</v>
      </c>
      <c r="B315" s="1">
        <v>43356</v>
      </c>
      <c r="C315">
        <f>YEAR(yt_sports_channels_stats[[#This Row],[Start Date]])</f>
        <v>2018</v>
      </c>
      <c r="D315" s="1" t="str">
        <f>IF(YEAR(yt_sports_channels_stats[[#This Row],[Start Date]])&lt;2011,"Old Gen",IF(AND(YEAR(yt_sports_channels_stats[[#This Row],[Start Date]]&gt;2011),YEAR(yt_sports_channels_stats[[#This Row],[Start Date]])&lt;2020),"Mid Gen","New Gen"))</f>
        <v>Mid Gen</v>
      </c>
      <c r="E315">
        <v>615</v>
      </c>
      <c r="F315">
        <v>146971</v>
      </c>
      <c r="G315">
        <f>yt_sports_channels_stats[[#This Row],[view_count]]/yt_sports_channels_stats[[#This Row],[video_count]]</f>
        <v>238.97723577235772</v>
      </c>
      <c r="H315" s="4">
        <f>yt_sports_channels_stats[[#This Row],[subscriber_count]]/yt_sports_channels_stats[[#This Row],[view_count]]</f>
        <v>4.4294452647120862E-2</v>
      </c>
      <c r="I315">
        <v>6510</v>
      </c>
    </row>
    <row r="316" spans="1:9" x14ac:dyDescent="0.25">
      <c r="A316" t="s">
        <v>302</v>
      </c>
      <c r="B316" s="1">
        <v>45233</v>
      </c>
      <c r="C316">
        <f>YEAR(yt_sports_channels_stats[[#This Row],[Start Date]])</f>
        <v>2023</v>
      </c>
      <c r="D316" s="1" t="str">
        <f>IF(YEAR(yt_sports_channels_stats[[#This Row],[Start Date]])&lt;2011,"Old Gen",IF(AND(YEAR(yt_sports_channels_stats[[#This Row],[Start Date]]&gt;2011),YEAR(yt_sports_channels_stats[[#This Row],[Start Date]])&lt;2020),"Mid Gen","New Gen"))</f>
        <v>New Gen</v>
      </c>
      <c r="E316">
        <v>52</v>
      </c>
      <c r="F316">
        <v>4228</v>
      </c>
      <c r="G316">
        <f>yt_sports_channels_stats[[#This Row],[view_count]]/yt_sports_channels_stats[[#This Row],[video_count]]</f>
        <v>81.307692307692307</v>
      </c>
      <c r="H316" s="4">
        <f>yt_sports_channels_stats[[#This Row],[subscriber_count]]/yt_sports_channels_stats[[#This Row],[view_count]]</f>
        <v>2.1759697256385997E-2</v>
      </c>
      <c r="I316">
        <v>92</v>
      </c>
    </row>
    <row r="317" spans="1:9" x14ac:dyDescent="0.25">
      <c r="A317" t="s">
        <v>303</v>
      </c>
      <c r="B317" s="1">
        <v>45026</v>
      </c>
      <c r="C317">
        <f>YEAR(yt_sports_channels_stats[[#This Row],[Start Date]])</f>
        <v>2023</v>
      </c>
      <c r="D317" s="1" t="str">
        <f>IF(YEAR(yt_sports_channels_stats[[#This Row],[Start Date]])&lt;2011,"Old Gen",IF(AND(YEAR(yt_sports_channels_stats[[#This Row],[Start Date]]&gt;2011),YEAR(yt_sports_channels_stats[[#This Row],[Start Date]])&lt;2020),"Mid Gen","New Gen"))</f>
        <v>New Gen</v>
      </c>
      <c r="E317">
        <v>26</v>
      </c>
      <c r="F317">
        <v>1889</v>
      </c>
      <c r="G317">
        <f>yt_sports_channels_stats[[#This Row],[view_count]]/yt_sports_channels_stats[[#This Row],[video_count]]</f>
        <v>72.65384615384616</v>
      </c>
      <c r="H317" s="4">
        <f>yt_sports_channels_stats[[#This Row],[subscriber_count]]/yt_sports_channels_stats[[#This Row],[view_count]]</f>
        <v>4.1291688724192692E-2</v>
      </c>
      <c r="I317">
        <v>78</v>
      </c>
    </row>
    <row r="318" spans="1:9" x14ac:dyDescent="0.25">
      <c r="A318" t="s">
        <v>304</v>
      </c>
      <c r="B318" s="1">
        <v>44332</v>
      </c>
      <c r="C318">
        <f>YEAR(yt_sports_channels_stats[[#This Row],[Start Date]])</f>
        <v>2021</v>
      </c>
      <c r="D318" s="1" t="str">
        <f>IF(YEAR(yt_sports_channels_stats[[#This Row],[Start Date]])&lt;2011,"Old Gen",IF(AND(YEAR(yt_sports_channels_stats[[#This Row],[Start Date]]&gt;2011),YEAR(yt_sports_channels_stats[[#This Row],[Start Date]])&lt;2020),"Mid Gen","New Gen"))</f>
        <v>New Gen</v>
      </c>
      <c r="E318">
        <v>197</v>
      </c>
      <c r="F318">
        <v>8160151</v>
      </c>
      <c r="G318">
        <f>yt_sports_channels_stats[[#This Row],[view_count]]/yt_sports_channels_stats[[#This Row],[video_count]]</f>
        <v>41422.086294416244</v>
      </c>
      <c r="H318" s="4">
        <f>yt_sports_channels_stats[[#This Row],[subscriber_count]]/yt_sports_channels_stats[[#This Row],[view_count]]</f>
        <v>1.9117293295185347E-3</v>
      </c>
      <c r="I318">
        <v>15600</v>
      </c>
    </row>
    <row r="319" spans="1:9" x14ac:dyDescent="0.25">
      <c r="A319" t="s">
        <v>305</v>
      </c>
      <c r="B319" s="1">
        <v>45305</v>
      </c>
      <c r="C319">
        <f>YEAR(yt_sports_channels_stats[[#This Row],[Start Date]])</f>
        <v>2024</v>
      </c>
      <c r="D319" s="1" t="str">
        <f>IF(YEAR(yt_sports_channels_stats[[#This Row],[Start Date]])&lt;2011,"Old Gen",IF(AND(YEAR(yt_sports_channels_stats[[#This Row],[Start Date]]&gt;2011),YEAR(yt_sports_channels_stats[[#This Row],[Start Date]])&lt;2020),"Mid Gen","New Gen"))</f>
        <v>New Gen</v>
      </c>
      <c r="E319">
        <v>96</v>
      </c>
      <c r="F319">
        <v>9161</v>
      </c>
      <c r="G319">
        <f>yt_sports_channels_stats[[#This Row],[view_count]]/yt_sports_channels_stats[[#This Row],[video_count]]</f>
        <v>95.427083333333329</v>
      </c>
      <c r="H319" s="4">
        <f>yt_sports_channels_stats[[#This Row],[subscriber_count]]/yt_sports_channels_stats[[#This Row],[view_count]]</f>
        <v>2.314157843030237E-2</v>
      </c>
      <c r="I319">
        <v>212</v>
      </c>
    </row>
    <row r="320" spans="1:9" x14ac:dyDescent="0.25">
      <c r="A320" t="s">
        <v>306</v>
      </c>
      <c r="B320" s="1">
        <v>42265</v>
      </c>
      <c r="C320">
        <f>YEAR(yt_sports_channels_stats[[#This Row],[Start Date]])</f>
        <v>2015</v>
      </c>
      <c r="D320" s="1" t="str">
        <f>IF(YEAR(yt_sports_channels_stats[[#This Row],[Start Date]])&lt;2011,"Old Gen",IF(AND(YEAR(yt_sports_channels_stats[[#This Row],[Start Date]]&gt;2011),YEAR(yt_sports_channels_stats[[#This Row],[Start Date]])&lt;2020),"Mid Gen","New Gen"))</f>
        <v>Mid Gen</v>
      </c>
      <c r="E320">
        <v>235</v>
      </c>
      <c r="F320">
        <v>24458</v>
      </c>
      <c r="G320">
        <f>yt_sports_channels_stats[[#This Row],[view_count]]/yt_sports_channels_stats[[#This Row],[video_count]]</f>
        <v>104.07659574468084</v>
      </c>
      <c r="H320" s="4">
        <f>yt_sports_channels_stats[[#This Row],[subscriber_count]]/yt_sports_channels_stats[[#This Row],[view_count]]</f>
        <v>2.6576171395862294E-3</v>
      </c>
      <c r="I320">
        <v>65</v>
      </c>
    </row>
    <row r="321" spans="1:9" x14ac:dyDescent="0.25">
      <c r="A321" t="s">
        <v>307</v>
      </c>
      <c r="B321" s="1">
        <v>44342</v>
      </c>
      <c r="C321">
        <f>YEAR(yt_sports_channels_stats[[#This Row],[Start Date]])</f>
        <v>2021</v>
      </c>
      <c r="D321" s="1" t="str">
        <f>IF(YEAR(yt_sports_channels_stats[[#This Row],[Start Date]])&lt;2011,"Old Gen",IF(AND(YEAR(yt_sports_channels_stats[[#This Row],[Start Date]]&gt;2011),YEAR(yt_sports_channels_stats[[#This Row],[Start Date]])&lt;2020),"Mid Gen","New Gen"))</f>
        <v>New Gen</v>
      </c>
      <c r="E321">
        <v>39</v>
      </c>
      <c r="F321">
        <v>1573181</v>
      </c>
      <c r="G321">
        <f>yt_sports_channels_stats[[#This Row],[view_count]]/yt_sports_channels_stats[[#This Row],[video_count]]</f>
        <v>40337.974358974359</v>
      </c>
      <c r="H321" s="4">
        <f>yt_sports_channels_stats[[#This Row],[subscriber_count]]/yt_sports_channels_stats[[#This Row],[view_count]]</f>
        <v>5.8798065829678845E-3</v>
      </c>
      <c r="I321">
        <v>9250</v>
      </c>
    </row>
    <row r="322" spans="1:9" x14ac:dyDescent="0.25">
      <c r="A322" t="s">
        <v>308</v>
      </c>
      <c r="B322" s="1">
        <v>43605</v>
      </c>
      <c r="C322">
        <f>YEAR(yt_sports_channels_stats[[#This Row],[Start Date]])</f>
        <v>2019</v>
      </c>
      <c r="D322" s="1" t="str">
        <f>IF(YEAR(yt_sports_channels_stats[[#This Row],[Start Date]])&lt;2011,"Old Gen",IF(AND(YEAR(yt_sports_channels_stats[[#This Row],[Start Date]]&gt;2011),YEAR(yt_sports_channels_stats[[#This Row],[Start Date]])&lt;2020),"Mid Gen","New Gen"))</f>
        <v>Mid Gen</v>
      </c>
      <c r="E322">
        <v>9</v>
      </c>
      <c r="F322">
        <v>233</v>
      </c>
      <c r="G322">
        <f>yt_sports_channels_stats[[#This Row],[view_count]]/yt_sports_channels_stats[[#This Row],[video_count]]</f>
        <v>25.888888888888889</v>
      </c>
      <c r="H322" s="4">
        <f>yt_sports_channels_stats[[#This Row],[subscriber_count]]/yt_sports_channels_stats[[#This Row],[view_count]]</f>
        <v>4.2918454935622317E-3</v>
      </c>
      <c r="I322">
        <v>1</v>
      </c>
    </row>
    <row r="323" spans="1:9" x14ac:dyDescent="0.25">
      <c r="A323" t="s">
        <v>309</v>
      </c>
      <c r="B323" s="1">
        <v>45240</v>
      </c>
      <c r="C323">
        <f>YEAR(yt_sports_channels_stats[[#This Row],[Start Date]])</f>
        <v>2023</v>
      </c>
      <c r="D323" s="1" t="str">
        <f>IF(YEAR(yt_sports_channels_stats[[#This Row],[Start Date]])&lt;2011,"Old Gen",IF(AND(YEAR(yt_sports_channels_stats[[#This Row],[Start Date]]&gt;2011),YEAR(yt_sports_channels_stats[[#This Row],[Start Date]])&lt;2020),"Mid Gen","New Gen"))</f>
        <v>New Gen</v>
      </c>
      <c r="E323">
        <v>1</v>
      </c>
      <c r="F323">
        <v>11</v>
      </c>
      <c r="G323">
        <f>yt_sports_channels_stats[[#This Row],[view_count]]/yt_sports_channels_stats[[#This Row],[video_count]]</f>
        <v>11</v>
      </c>
      <c r="H323" s="4">
        <f>yt_sports_channels_stats[[#This Row],[subscriber_count]]/yt_sports_channels_stats[[#This Row],[view_count]]</f>
        <v>9.0909090909090912E-2</v>
      </c>
      <c r="I323">
        <v>1</v>
      </c>
    </row>
    <row r="324" spans="1:9" x14ac:dyDescent="0.25">
      <c r="A324" t="s">
        <v>310</v>
      </c>
      <c r="B324" s="1">
        <v>44263</v>
      </c>
      <c r="C324">
        <f>YEAR(yt_sports_channels_stats[[#This Row],[Start Date]])</f>
        <v>2021</v>
      </c>
      <c r="D324" s="1" t="str">
        <f>IF(YEAR(yt_sports_channels_stats[[#This Row],[Start Date]])&lt;2011,"Old Gen",IF(AND(YEAR(yt_sports_channels_stats[[#This Row],[Start Date]]&gt;2011),YEAR(yt_sports_channels_stats[[#This Row],[Start Date]])&lt;2020),"Mid Gen","New Gen"))</f>
        <v>New Gen</v>
      </c>
      <c r="E324">
        <v>12</v>
      </c>
      <c r="F324">
        <v>79181</v>
      </c>
      <c r="G324">
        <f>yt_sports_channels_stats[[#This Row],[view_count]]/yt_sports_channels_stats[[#This Row],[video_count]]</f>
        <v>6598.416666666667</v>
      </c>
      <c r="H324" s="4">
        <f>yt_sports_channels_stats[[#This Row],[subscriber_count]]/yt_sports_channels_stats[[#This Row],[view_count]]</f>
        <v>1.490256500928253E-3</v>
      </c>
      <c r="I324">
        <v>118</v>
      </c>
    </row>
    <row r="325" spans="1:9" x14ac:dyDescent="0.25">
      <c r="A325" t="s">
        <v>311</v>
      </c>
      <c r="B325" s="1">
        <v>44982</v>
      </c>
      <c r="C325">
        <f>YEAR(yt_sports_channels_stats[[#This Row],[Start Date]])</f>
        <v>2023</v>
      </c>
      <c r="D325" s="1" t="str">
        <f>IF(YEAR(yt_sports_channels_stats[[#This Row],[Start Date]])&lt;2011,"Old Gen",IF(AND(YEAR(yt_sports_channels_stats[[#This Row],[Start Date]]&gt;2011),YEAR(yt_sports_channels_stats[[#This Row],[Start Date]])&lt;2020),"Mid Gen","New Gen"))</f>
        <v>New Gen</v>
      </c>
      <c r="E325">
        <v>97</v>
      </c>
      <c r="F325">
        <v>171029</v>
      </c>
      <c r="G325">
        <f>yt_sports_channels_stats[[#This Row],[view_count]]/yt_sports_channels_stats[[#This Row],[video_count]]</f>
        <v>1763.1855670103093</v>
      </c>
      <c r="H325" s="4">
        <f>yt_sports_channels_stats[[#This Row],[subscriber_count]]/yt_sports_channels_stats[[#This Row],[view_count]]</f>
        <v>5.0634687684544726E-3</v>
      </c>
      <c r="I325">
        <v>866</v>
      </c>
    </row>
    <row r="326" spans="1:9" x14ac:dyDescent="0.25">
      <c r="A326" t="s">
        <v>312</v>
      </c>
      <c r="B326" s="1">
        <v>44136</v>
      </c>
      <c r="C326">
        <f>YEAR(yt_sports_channels_stats[[#This Row],[Start Date]])</f>
        <v>2020</v>
      </c>
      <c r="D326" s="1" t="str">
        <f>IF(YEAR(yt_sports_channels_stats[[#This Row],[Start Date]])&lt;2011,"Old Gen",IF(AND(YEAR(yt_sports_channels_stats[[#This Row],[Start Date]]&gt;2011),YEAR(yt_sports_channels_stats[[#This Row],[Start Date]])&lt;2020),"Mid Gen","New Gen"))</f>
        <v>New Gen</v>
      </c>
      <c r="E326">
        <v>491</v>
      </c>
      <c r="F326">
        <v>2489507</v>
      </c>
      <c r="G326">
        <f>yt_sports_channels_stats[[#This Row],[view_count]]/yt_sports_channels_stats[[#This Row],[video_count]]</f>
        <v>5070.2790224032588</v>
      </c>
      <c r="H326" s="4">
        <f>yt_sports_channels_stats[[#This Row],[subscriber_count]]/yt_sports_channels_stats[[#This Row],[view_count]]</f>
        <v>4.2578711367351049E-3</v>
      </c>
      <c r="I326">
        <v>10600</v>
      </c>
    </row>
    <row r="327" spans="1:9" x14ac:dyDescent="0.25">
      <c r="A327" t="s">
        <v>313</v>
      </c>
      <c r="B327" s="1">
        <v>44632</v>
      </c>
      <c r="C327">
        <f>YEAR(yt_sports_channels_stats[[#This Row],[Start Date]])</f>
        <v>2022</v>
      </c>
      <c r="D327" s="1" t="str">
        <f>IF(YEAR(yt_sports_channels_stats[[#This Row],[Start Date]])&lt;2011,"Old Gen",IF(AND(YEAR(yt_sports_channels_stats[[#This Row],[Start Date]]&gt;2011),YEAR(yt_sports_channels_stats[[#This Row],[Start Date]])&lt;2020),"Mid Gen","New Gen"))</f>
        <v>New Gen</v>
      </c>
      <c r="E327">
        <v>44</v>
      </c>
      <c r="F327">
        <v>40851</v>
      </c>
      <c r="G327">
        <f>yt_sports_channels_stats[[#This Row],[view_count]]/yt_sports_channels_stats[[#This Row],[video_count]]</f>
        <v>928.43181818181813</v>
      </c>
      <c r="H327" s="4">
        <f>yt_sports_channels_stats[[#This Row],[subscriber_count]]/yt_sports_channels_stats[[#This Row],[view_count]]</f>
        <v>2.2031284423881911E-3</v>
      </c>
      <c r="I327">
        <v>90</v>
      </c>
    </row>
    <row r="328" spans="1:9" x14ac:dyDescent="0.25">
      <c r="A328" t="s">
        <v>314</v>
      </c>
      <c r="B328" s="1">
        <v>45042</v>
      </c>
      <c r="C328">
        <f>YEAR(yt_sports_channels_stats[[#This Row],[Start Date]])</f>
        <v>2023</v>
      </c>
      <c r="D328" s="1" t="str">
        <f>IF(YEAR(yt_sports_channels_stats[[#This Row],[Start Date]])&lt;2011,"Old Gen",IF(AND(YEAR(yt_sports_channels_stats[[#This Row],[Start Date]]&gt;2011),YEAR(yt_sports_channels_stats[[#This Row],[Start Date]])&lt;2020),"Mid Gen","New Gen"))</f>
        <v>New Gen</v>
      </c>
      <c r="E328">
        <v>10</v>
      </c>
      <c r="F328">
        <v>12515</v>
      </c>
      <c r="G328">
        <f>yt_sports_channels_stats[[#This Row],[view_count]]/yt_sports_channels_stats[[#This Row],[video_count]]</f>
        <v>1251.5</v>
      </c>
      <c r="H328" s="4">
        <f>yt_sports_channels_stats[[#This Row],[subscriber_count]]/yt_sports_channels_stats[[#This Row],[view_count]]</f>
        <v>1.3583699560527367E-2</v>
      </c>
      <c r="I328">
        <v>170</v>
      </c>
    </row>
    <row r="329" spans="1:9" x14ac:dyDescent="0.25">
      <c r="A329" t="s">
        <v>315</v>
      </c>
      <c r="B329" s="1">
        <v>42939</v>
      </c>
      <c r="C329">
        <f>YEAR(yt_sports_channels_stats[[#This Row],[Start Date]])</f>
        <v>2017</v>
      </c>
      <c r="D329" s="1" t="str">
        <f>IF(YEAR(yt_sports_channels_stats[[#This Row],[Start Date]])&lt;2011,"Old Gen",IF(AND(YEAR(yt_sports_channels_stats[[#This Row],[Start Date]]&gt;2011),YEAR(yt_sports_channels_stats[[#This Row],[Start Date]])&lt;2020),"Mid Gen","New Gen"))</f>
        <v>Mid Gen</v>
      </c>
      <c r="E329">
        <v>21</v>
      </c>
      <c r="F329">
        <v>17390</v>
      </c>
      <c r="G329">
        <f>yt_sports_channels_stats[[#This Row],[view_count]]/yt_sports_channels_stats[[#This Row],[video_count]]</f>
        <v>828.09523809523807</v>
      </c>
      <c r="H329" s="4">
        <f>yt_sports_channels_stats[[#This Row],[subscriber_count]]/yt_sports_channels_stats[[#This Row],[view_count]]</f>
        <v>2.7084531339850488</v>
      </c>
      <c r="I329">
        <v>47100</v>
      </c>
    </row>
    <row r="330" spans="1:9" x14ac:dyDescent="0.25">
      <c r="A330" t="s">
        <v>316</v>
      </c>
      <c r="B330" s="1">
        <v>45110</v>
      </c>
      <c r="C330">
        <f>YEAR(yt_sports_channels_stats[[#This Row],[Start Date]])</f>
        <v>2023</v>
      </c>
      <c r="D330" s="1" t="str">
        <f>IF(YEAR(yt_sports_channels_stats[[#This Row],[Start Date]])&lt;2011,"Old Gen",IF(AND(YEAR(yt_sports_channels_stats[[#This Row],[Start Date]]&gt;2011),YEAR(yt_sports_channels_stats[[#This Row],[Start Date]])&lt;2020),"Mid Gen","New Gen"))</f>
        <v>New Gen</v>
      </c>
      <c r="E330">
        <v>322</v>
      </c>
      <c r="F330">
        <v>1685075</v>
      </c>
      <c r="G330">
        <f>yt_sports_channels_stats[[#This Row],[view_count]]/yt_sports_channels_stats[[#This Row],[video_count]]</f>
        <v>5233.152173913043</v>
      </c>
      <c r="H330" s="4">
        <f>yt_sports_channels_stats[[#This Row],[subscriber_count]]/yt_sports_channels_stats[[#This Row],[view_count]]</f>
        <v>1.9346319896740502E-3</v>
      </c>
      <c r="I330">
        <v>3260</v>
      </c>
    </row>
    <row r="331" spans="1:9" x14ac:dyDescent="0.25">
      <c r="A331" t="s">
        <v>317</v>
      </c>
      <c r="B331" s="1">
        <v>44996</v>
      </c>
      <c r="C331">
        <f>YEAR(yt_sports_channels_stats[[#This Row],[Start Date]])</f>
        <v>2023</v>
      </c>
      <c r="D331" s="1" t="str">
        <f>IF(YEAR(yt_sports_channels_stats[[#This Row],[Start Date]])&lt;2011,"Old Gen",IF(AND(YEAR(yt_sports_channels_stats[[#This Row],[Start Date]]&gt;2011),YEAR(yt_sports_channels_stats[[#This Row],[Start Date]])&lt;2020),"Mid Gen","New Gen"))</f>
        <v>New Gen</v>
      </c>
      <c r="E331">
        <v>103</v>
      </c>
      <c r="F331">
        <v>374903</v>
      </c>
      <c r="G331">
        <f>yt_sports_channels_stats[[#This Row],[view_count]]/yt_sports_channels_stats[[#This Row],[video_count]]</f>
        <v>3639.8349514563106</v>
      </c>
      <c r="H331" s="4">
        <f>yt_sports_channels_stats[[#This Row],[subscriber_count]]/yt_sports_channels_stats[[#This Row],[view_count]]</f>
        <v>9.5758102762581246E-3</v>
      </c>
      <c r="I331">
        <v>3590</v>
      </c>
    </row>
    <row r="332" spans="1:9" x14ac:dyDescent="0.25">
      <c r="A332" t="s">
        <v>318</v>
      </c>
      <c r="B332" s="1">
        <v>43755</v>
      </c>
      <c r="C332">
        <f>YEAR(yt_sports_channels_stats[[#This Row],[Start Date]])</f>
        <v>2019</v>
      </c>
      <c r="D332" s="1" t="str">
        <f>IF(YEAR(yt_sports_channels_stats[[#This Row],[Start Date]])&lt;2011,"Old Gen",IF(AND(YEAR(yt_sports_channels_stats[[#This Row],[Start Date]]&gt;2011),YEAR(yt_sports_channels_stats[[#This Row],[Start Date]])&lt;2020),"Mid Gen","New Gen"))</f>
        <v>Mid Gen</v>
      </c>
      <c r="E332">
        <v>60</v>
      </c>
      <c r="F332">
        <v>2960</v>
      </c>
      <c r="G332">
        <f>yt_sports_channels_stats[[#This Row],[view_count]]/yt_sports_channels_stats[[#This Row],[video_count]]</f>
        <v>49.333333333333336</v>
      </c>
      <c r="H332" s="4">
        <f>yt_sports_channels_stats[[#This Row],[subscriber_count]]/yt_sports_channels_stats[[#This Row],[view_count]]</f>
        <v>2.0270270270270271E-2</v>
      </c>
      <c r="I332">
        <v>60</v>
      </c>
    </row>
    <row r="333" spans="1:9" x14ac:dyDescent="0.25">
      <c r="A333" t="s">
        <v>319</v>
      </c>
      <c r="B333" s="1">
        <v>41525</v>
      </c>
      <c r="C333">
        <f>YEAR(yt_sports_channels_stats[[#This Row],[Start Date]])</f>
        <v>2013</v>
      </c>
      <c r="D333" s="1" t="str">
        <f>IF(YEAR(yt_sports_channels_stats[[#This Row],[Start Date]])&lt;2011,"Old Gen",IF(AND(YEAR(yt_sports_channels_stats[[#This Row],[Start Date]]&gt;2011),YEAR(yt_sports_channels_stats[[#This Row],[Start Date]])&lt;2020),"Mid Gen","New Gen"))</f>
        <v>Mid Gen</v>
      </c>
      <c r="E333">
        <v>13</v>
      </c>
      <c r="F333">
        <v>4444</v>
      </c>
      <c r="G333">
        <f>yt_sports_channels_stats[[#This Row],[view_count]]/yt_sports_channels_stats[[#This Row],[video_count]]</f>
        <v>341.84615384615387</v>
      </c>
      <c r="H333" s="4">
        <f>yt_sports_channels_stats[[#This Row],[subscriber_count]]/yt_sports_channels_stats[[#This Row],[view_count]]</f>
        <v>1.4176417641764177E-2</v>
      </c>
      <c r="I333">
        <v>63</v>
      </c>
    </row>
    <row r="334" spans="1:9" x14ac:dyDescent="0.25">
      <c r="A334" t="s">
        <v>320</v>
      </c>
      <c r="B334" s="1">
        <v>44157</v>
      </c>
      <c r="C334">
        <f>YEAR(yt_sports_channels_stats[[#This Row],[Start Date]])</f>
        <v>2020</v>
      </c>
      <c r="D334" s="1" t="str">
        <f>IF(YEAR(yt_sports_channels_stats[[#This Row],[Start Date]])&lt;2011,"Old Gen",IF(AND(YEAR(yt_sports_channels_stats[[#This Row],[Start Date]]&gt;2011),YEAR(yt_sports_channels_stats[[#This Row],[Start Date]])&lt;2020),"Mid Gen","New Gen"))</f>
        <v>New Gen</v>
      </c>
      <c r="E334">
        <v>72</v>
      </c>
      <c r="F334">
        <v>69843</v>
      </c>
      <c r="G334">
        <f>yt_sports_channels_stats[[#This Row],[view_count]]/yt_sports_channels_stats[[#This Row],[video_count]]</f>
        <v>970.04166666666663</v>
      </c>
      <c r="H334" s="4">
        <f>yt_sports_channels_stats[[#This Row],[subscriber_count]]/yt_sports_channels_stats[[#This Row],[view_count]]</f>
        <v>2.5772088827799495E-3</v>
      </c>
      <c r="I334">
        <v>180</v>
      </c>
    </row>
    <row r="335" spans="1:9" x14ac:dyDescent="0.25">
      <c r="A335" t="s">
        <v>321</v>
      </c>
      <c r="B335" s="1">
        <v>43858</v>
      </c>
      <c r="C335">
        <f>YEAR(yt_sports_channels_stats[[#This Row],[Start Date]])</f>
        <v>2020</v>
      </c>
      <c r="D335" s="1" t="str">
        <f>IF(YEAR(yt_sports_channels_stats[[#This Row],[Start Date]])&lt;2011,"Old Gen",IF(AND(YEAR(yt_sports_channels_stats[[#This Row],[Start Date]]&gt;2011),YEAR(yt_sports_channels_stats[[#This Row],[Start Date]])&lt;2020),"Mid Gen","New Gen"))</f>
        <v>New Gen</v>
      </c>
      <c r="E335">
        <v>12</v>
      </c>
      <c r="F335">
        <v>9181</v>
      </c>
      <c r="G335">
        <f>yt_sports_channels_stats[[#This Row],[view_count]]/yt_sports_channels_stats[[#This Row],[video_count]]</f>
        <v>765.08333333333337</v>
      </c>
      <c r="H335" s="4">
        <f>yt_sports_channels_stats[[#This Row],[subscriber_count]]/yt_sports_channels_stats[[#This Row],[view_count]]</f>
        <v>0.10892059688487093</v>
      </c>
      <c r="I335">
        <v>1000</v>
      </c>
    </row>
    <row r="336" spans="1:9" x14ac:dyDescent="0.25">
      <c r="A336" t="s">
        <v>322</v>
      </c>
      <c r="B336" s="1">
        <v>43836</v>
      </c>
      <c r="C336">
        <f>YEAR(yt_sports_channels_stats[[#This Row],[Start Date]])</f>
        <v>2020</v>
      </c>
      <c r="D336" s="1" t="str">
        <f>IF(YEAR(yt_sports_channels_stats[[#This Row],[Start Date]])&lt;2011,"Old Gen",IF(AND(YEAR(yt_sports_channels_stats[[#This Row],[Start Date]]&gt;2011),YEAR(yt_sports_channels_stats[[#This Row],[Start Date]])&lt;2020),"Mid Gen","New Gen"))</f>
        <v>New Gen</v>
      </c>
      <c r="E336">
        <v>27</v>
      </c>
      <c r="F336">
        <v>625616</v>
      </c>
      <c r="G336">
        <f>yt_sports_channels_stats[[#This Row],[view_count]]/yt_sports_channels_stats[[#This Row],[video_count]]</f>
        <v>23170.962962962964</v>
      </c>
      <c r="H336" s="4">
        <f>yt_sports_channels_stats[[#This Row],[subscriber_count]]/yt_sports_channels_stats[[#This Row],[view_count]]</f>
        <v>3.8681875143858212E-3</v>
      </c>
      <c r="I336">
        <v>2420</v>
      </c>
    </row>
    <row r="337" spans="1:9" x14ac:dyDescent="0.25">
      <c r="A337" t="s">
        <v>323</v>
      </c>
      <c r="B337" s="1">
        <v>44927</v>
      </c>
      <c r="C337">
        <f>YEAR(yt_sports_channels_stats[[#This Row],[Start Date]])</f>
        <v>2023</v>
      </c>
      <c r="D337" s="1" t="str">
        <f>IF(YEAR(yt_sports_channels_stats[[#This Row],[Start Date]])&lt;2011,"Old Gen",IF(AND(YEAR(yt_sports_channels_stats[[#This Row],[Start Date]]&gt;2011),YEAR(yt_sports_channels_stats[[#This Row],[Start Date]])&lt;2020),"Mid Gen","New Gen"))</f>
        <v>New Gen</v>
      </c>
      <c r="E337">
        <v>12</v>
      </c>
      <c r="F337">
        <v>9975</v>
      </c>
      <c r="G337">
        <f>yt_sports_channels_stats[[#This Row],[view_count]]/yt_sports_channels_stats[[#This Row],[video_count]]</f>
        <v>831.25</v>
      </c>
      <c r="H337" s="4">
        <f>yt_sports_channels_stats[[#This Row],[subscriber_count]]/yt_sports_channels_stats[[#This Row],[view_count]]</f>
        <v>5.6240601503759396E-2</v>
      </c>
      <c r="I337">
        <v>561</v>
      </c>
    </row>
    <row r="338" spans="1:9" x14ac:dyDescent="0.25">
      <c r="A338" t="s">
        <v>324</v>
      </c>
      <c r="B338" s="1">
        <v>45266</v>
      </c>
      <c r="C338">
        <f>YEAR(yt_sports_channels_stats[[#This Row],[Start Date]])</f>
        <v>2023</v>
      </c>
      <c r="D338" s="1" t="str">
        <f>IF(YEAR(yt_sports_channels_stats[[#This Row],[Start Date]])&lt;2011,"Old Gen",IF(AND(YEAR(yt_sports_channels_stats[[#This Row],[Start Date]]&gt;2011),YEAR(yt_sports_channels_stats[[#This Row],[Start Date]])&lt;2020),"Mid Gen","New Gen"))</f>
        <v>New Gen</v>
      </c>
      <c r="E338">
        <v>1</v>
      </c>
      <c r="F338">
        <v>3</v>
      </c>
      <c r="G338">
        <f>yt_sports_channels_stats[[#This Row],[view_count]]/yt_sports_channels_stats[[#This Row],[video_count]]</f>
        <v>3</v>
      </c>
      <c r="H338" s="4">
        <f>yt_sports_channels_stats[[#This Row],[subscriber_count]]/yt_sports_channels_stats[[#This Row],[view_count]]</f>
        <v>1</v>
      </c>
      <c r="I338">
        <v>3</v>
      </c>
    </row>
    <row r="339" spans="1:9" x14ac:dyDescent="0.25">
      <c r="A339" t="s">
        <v>325</v>
      </c>
      <c r="B339" s="1">
        <v>45283</v>
      </c>
      <c r="C339">
        <f>YEAR(yt_sports_channels_stats[[#This Row],[Start Date]])</f>
        <v>2023</v>
      </c>
      <c r="D339" s="1" t="str">
        <f>IF(YEAR(yt_sports_channels_stats[[#This Row],[Start Date]])&lt;2011,"Old Gen",IF(AND(YEAR(yt_sports_channels_stats[[#This Row],[Start Date]]&gt;2011),YEAR(yt_sports_channels_stats[[#This Row],[Start Date]])&lt;2020),"Mid Gen","New Gen"))</f>
        <v>New Gen</v>
      </c>
      <c r="E339">
        <v>5</v>
      </c>
      <c r="F339">
        <v>34</v>
      </c>
      <c r="G339">
        <f>yt_sports_channels_stats[[#This Row],[view_count]]/yt_sports_channels_stats[[#This Row],[video_count]]</f>
        <v>6.8</v>
      </c>
      <c r="H339" s="4">
        <f>yt_sports_channels_stats[[#This Row],[subscriber_count]]/yt_sports_channels_stats[[#This Row],[view_count]]</f>
        <v>0</v>
      </c>
      <c r="I339">
        <v>0</v>
      </c>
    </row>
    <row r="340" spans="1:9" x14ac:dyDescent="0.25">
      <c r="A340" t="s">
        <v>326</v>
      </c>
      <c r="B340" s="1">
        <v>41629</v>
      </c>
      <c r="C340">
        <f>YEAR(yt_sports_channels_stats[[#This Row],[Start Date]])</f>
        <v>2013</v>
      </c>
      <c r="D340" s="1" t="str">
        <f>IF(YEAR(yt_sports_channels_stats[[#This Row],[Start Date]])&lt;2011,"Old Gen",IF(AND(YEAR(yt_sports_channels_stats[[#This Row],[Start Date]]&gt;2011),YEAR(yt_sports_channels_stats[[#This Row],[Start Date]])&lt;2020),"Mid Gen","New Gen"))</f>
        <v>Mid Gen</v>
      </c>
      <c r="E340">
        <v>524</v>
      </c>
      <c r="F340">
        <v>27933573</v>
      </c>
      <c r="G340">
        <f>yt_sports_channels_stats[[#This Row],[view_count]]/yt_sports_channels_stats[[#This Row],[video_count]]</f>
        <v>53308.345419847326</v>
      </c>
      <c r="H340" s="4">
        <f>yt_sports_channels_stats[[#This Row],[subscriber_count]]/yt_sports_channels_stats[[#This Row],[view_count]]</f>
        <v>6.730252517284488E-4</v>
      </c>
      <c r="I340">
        <v>18800</v>
      </c>
    </row>
    <row r="341" spans="1:9" x14ac:dyDescent="0.25">
      <c r="A341" t="s">
        <v>327</v>
      </c>
      <c r="B341" s="1">
        <v>44020</v>
      </c>
      <c r="C341">
        <f>YEAR(yt_sports_channels_stats[[#This Row],[Start Date]])</f>
        <v>2020</v>
      </c>
      <c r="D341" s="1" t="str">
        <f>IF(YEAR(yt_sports_channels_stats[[#This Row],[Start Date]])&lt;2011,"Old Gen",IF(AND(YEAR(yt_sports_channels_stats[[#This Row],[Start Date]]&gt;2011),YEAR(yt_sports_channels_stats[[#This Row],[Start Date]])&lt;2020),"Mid Gen","New Gen"))</f>
        <v>New Gen</v>
      </c>
      <c r="E341">
        <v>178</v>
      </c>
      <c r="F341">
        <v>48814</v>
      </c>
      <c r="G341">
        <f>yt_sports_channels_stats[[#This Row],[view_count]]/yt_sports_channels_stats[[#This Row],[video_count]]</f>
        <v>274.23595505617976</v>
      </c>
      <c r="H341" s="4">
        <f>yt_sports_channels_stats[[#This Row],[subscriber_count]]/yt_sports_channels_stats[[#This Row],[view_count]]</f>
        <v>1.9871348383660426E-3</v>
      </c>
      <c r="I341">
        <v>97</v>
      </c>
    </row>
    <row r="342" spans="1:9" x14ac:dyDescent="0.25">
      <c r="A342" t="s">
        <v>328</v>
      </c>
      <c r="B342" s="1">
        <v>43511</v>
      </c>
      <c r="C342">
        <f>YEAR(yt_sports_channels_stats[[#This Row],[Start Date]])</f>
        <v>2019</v>
      </c>
      <c r="D342" s="1" t="str">
        <f>IF(YEAR(yt_sports_channels_stats[[#This Row],[Start Date]])&lt;2011,"Old Gen",IF(AND(YEAR(yt_sports_channels_stats[[#This Row],[Start Date]]&gt;2011),YEAR(yt_sports_channels_stats[[#This Row],[Start Date]])&lt;2020),"Mid Gen","New Gen"))</f>
        <v>Mid Gen</v>
      </c>
      <c r="E342">
        <v>222</v>
      </c>
      <c r="F342">
        <v>669637</v>
      </c>
      <c r="G342">
        <f>yt_sports_channels_stats[[#This Row],[view_count]]/yt_sports_channels_stats[[#This Row],[video_count]]</f>
        <v>3016.3828828828828</v>
      </c>
      <c r="H342" s="4">
        <f>yt_sports_channels_stats[[#This Row],[subscriber_count]]/yt_sports_channels_stats[[#This Row],[view_count]]</f>
        <v>4.3157710819443969E-3</v>
      </c>
      <c r="I342">
        <v>2890</v>
      </c>
    </row>
    <row r="343" spans="1:9" x14ac:dyDescent="0.25">
      <c r="A343" t="s">
        <v>329</v>
      </c>
      <c r="B343" s="1">
        <v>45079</v>
      </c>
      <c r="C343">
        <f>YEAR(yt_sports_channels_stats[[#This Row],[Start Date]])</f>
        <v>2023</v>
      </c>
      <c r="D343" s="1" t="str">
        <f>IF(YEAR(yt_sports_channels_stats[[#This Row],[Start Date]])&lt;2011,"Old Gen",IF(AND(YEAR(yt_sports_channels_stats[[#This Row],[Start Date]]&gt;2011),YEAR(yt_sports_channels_stats[[#This Row],[Start Date]])&lt;2020),"Mid Gen","New Gen"))</f>
        <v>New Gen</v>
      </c>
      <c r="E343">
        <v>88</v>
      </c>
      <c r="F343">
        <v>83012</v>
      </c>
      <c r="G343">
        <f>yt_sports_channels_stats[[#This Row],[view_count]]/yt_sports_channels_stats[[#This Row],[video_count]]</f>
        <v>943.31818181818187</v>
      </c>
      <c r="H343" s="4">
        <f>yt_sports_channels_stats[[#This Row],[subscriber_count]]/yt_sports_channels_stats[[#This Row],[view_count]]</f>
        <v>4.1801185370789768E-3</v>
      </c>
      <c r="I343">
        <v>347</v>
      </c>
    </row>
    <row r="344" spans="1:9" x14ac:dyDescent="0.25">
      <c r="A344" t="s">
        <v>330</v>
      </c>
      <c r="B344" s="1">
        <v>45253</v>
      </c>
      <c r="C344">
        <f>YEAR(yt_sports_channels_stats[[#This Row],[Start Date]])</f>
        <v>2023</v>
      </c>
      <c r="D344" s="1" t="str">
        <f>IF(YEAR(yt_sports_channels_stats[[#This Row],[Start Date]])&lt;2011,"Old Gen",IF(AND(YEAR(yt_sports_channels_stats[[#This Row],[Start Date]]&gt;2011),YEAR(yt_sports_channels_stats[[#This Row],[Start Date]])&lt;2020),"Mid Gen","New Gen"))</f>
        <v>New Gen</v>
      </c>
      <c r="E344">
        <v>37</v>
      </c>
      <c r="F344">
        <v>4351</v>
      </c>
      <c r="G344">
        <f>yt_sports_channels_stats[[#This Row],[view_count]]/yt_sports_channels_stats[[#This Row],[video_count]]</f>
        <v>117.5945945945946</v>
      </c>
      <c r="H344" s="4">
        <f>yt_sports_channels_stats[[#This Row],[subscriber_count]]/yt_sports_channels_stats[[#This Row],[view_count]]</f>
        <v>0.2102964835669961</v>
      </c>
      <c r="I344">
        <v>915</v>
      </c>
    </row>
    <row r="345" spans="1:9" x14ac:dyDescent="0.25">
      <c r="A345" t="s">
        <v>331</v>
      </c>
      <c r="B345" s="1">
        <v>44823</v>
      </c>
      <c r="C345">
        <f>YEAR(yt_sports_channels_stats[[#This Row],[Start Date]])</f>
        <v>2022</v>
      </c>
      <c r="D345" s="1" t="str">
        <f>IF(YEAR(yt_sports_channels_stats[[#This Row],[Start Date]])&lt;2011,"Old Gen",IF(AND(YEAR(yt_sports_channels_stats[[#This Row],[Start Date]]&gt;2011),YEAR(yt_sports_channels_stats[[#This Row],[Start Date]])&lt;2020),"Mid Gen","New Gen"))</f>
        <v>New Gen</v>
      </c>
      <c r="E345">
        <v>43</v>
      </c>
      <c r="F345">
        <v>41860</v>
      </c>
      <c r="G345">
        <f>yt_sports_channels_stats[[#This Row],[view_count]]/yt_sports_channels_stats[[#This Row],[video_count]]</f>
        <v>973.48837209302326</v>
      </c>
      <c r="H345" s="4">
        <f>yt_sports_channels_stats[[#This Row],[subscriber_count]]/yt_sports_channels_stats[[#This Row],[view_count]]</f>
        <v>8.0984233158146197E-3</v>
      </c>
      <c r="I345">
        <v>339</v>
      </c>
    </row>
    <row r="346" spans="1:9" x14ac:dyDescent="0.25">
      <c r="A346" t="s">
        <v>332</v>
      </c>
      <c r="B346" s="1">
        <v>40925</v>
      </c>
      <c r="C346">
        <f>YEAR(yt_sports_channels_stats[[#This Row],[Start Date]])</f>
        <v>2012</v>
      </c>
      <c r="D346" s="1" t="str">
        <f>IF(YEAR(yt_sports_channels_stats[[#This Row],[Start Date]])&lt;2011,"Old Gen",IF(AND(YEAR(yt_sports_channels_stats[[#This Row],[Start Date]]&gt;2011),YEAR(yt_sports_channels_stats[[#This Row],[Start Date]])&lt;2020),"Mid Gen","New Gen"))</f>
        <v>Mid Gen</v>
      </c>
      <c r="E346">
        <v>281</v>
      </c>
      <c r="F346">
        <v>2691171</v>
      </c>
      <c r="G346">
        <f>yt_sports_channels_stats[[#This Row],[view_count]]/yt_sports_channels_stats[[#This Row],[video_count]]</f>
        <v>9577.120996441281</v>
      </c>
      <c r="H346" s="4">
        <f>yt_sports_channels_stats[[#This Row],[subscriber_count]]/yt_sports_channels_stats[[#This Row],[view_count]]</f>
        <v>2.8872189838549836E-3</v>
      </c>
      <c r="I346">
        <v>7770</v>
      </c>
    </row>
    <row r="347" spans="1:9" x14ac:dyDescent="0.25">
      <c r="A347" t="s">
        <v>333</v>
      </c>
      <c r="B347" s="1">
        <v>42850</v>
      </c>
      <c r="C347">
        <f>YEAR(yt_sports_channels_stats[[#This Row],[Start Date]])</f>
        <v>2017</v>
      </c>
      <c r="D347" s="1" t="str">
        <f>IF(YEAR(yt_sports_channels_stats[[#This Row],[Start Date]])&lt;2011,"Old Gen",IF(AND(YEAR(yt_sports_channels_stats[[#This Row],[Start Date]]&gt;2011),YEAR(yt_sports_channels_stats[[#This Row],[Start Date]])&lt;2020),"Mid Gen","New Gen"))</f>
        <v>Mid Gen</v>
      </c>
      <c r="E347">
        <v>32</v>
      </c>
      <c r="F347">
        <v>308188</v>
      </c>
      <c r="G347">
        <f>yt_sports_channels_stats[[#This Row],[view_count]]/yt_sports_channels_stats[[#This Row],[video_count]]</f>
        <v>9630.875</v>
      </c>
      <c r="H347" s="4">
        <f>yt_sports_channels_stats[[#This Row],[subscriber_count]]/yt_sports_channels_stats[[#This Row],[view_count]]</f>
        <v>2.1804872350643114E-3</v>
      </c>
      <c r="I347">
        <v>672</v>
      </c>
    </row>
    <row r="348" spans="1:9" x14ac:dyDescent="0.25">
      <c r="A348" t="s">
        <v>334</v>
      </c>
      <c r="B348" s="1">
        <v>43396</v>
      </c>
      <c r="C348">
        <f>YEAR(yt_sports_channels_stats[[#This Row],[Start Date]])</f>
        <v>2018</v>
      </c>
      <c r="D348" s="1" t="str">
        <f>IF(YEAR(yt_sports_channels_stats[[#This Row],[Start Date]])&lt;2011,"Old Gen",IF(AND(YEAR(yt_sports_channels_stats[[#This Row],[Start Date]]&gt;2011),YEAR(yt_sports_channels_stats[[#This Row],[Start Date]])&lt;2020),"Mid Gen","New Gen"))</f>
        <v>Mid Gen</v>
      </c>
      <c r="E348">
        <v>63</v>
      </c>
      <c r="F348">
        <v>5610676</v>
      </c>
      <c r="G348">
        <f>yt_sports_channels_stats[[#This Row],[view_count]]/yt_sports_channels_stats[[#This Row],[video_count]]</f>
        <v>89058.349206349201</v>
      </c>
      <c r="H348" s="4">
        <f>yt_sports_channels_stats[[#This Row],[subscriber_count]]/yt_sports_channels_stats[[#This Row],[view_count]]</f>
        <v>6.8440950787391748E-4</v>
      </c>
      <c r="I348">
        <v>3840</v>
      </c>
    </row>
    <row r="349" spans="1:9" x14ac:dyDescent="0.25">
      <c r="A349" t="s">
        <v>336</v>
      </c>
      <c r="B349" s="1">
        <v>44808</v>
      </c>
      <c r="C349">
        <f>YEAR(yt_sports_channels_stats[[#This Row],[Start Date]])</f>
        <v>2022</v>
      </c>
      <c r="D349" s="1" t="str">
        <f>IF(YEAR(yt_sports_channels_stats[[#This Row],[Start Date]])&lt;2011,"Old Gen",IF(AND(YEAR(yt_sports_channels_stats[[#This Row],[Start Date]]&gt;2011),YEAR(yt_sports_channels_stats[[#This Row],[Start Date]])&lt;2020),"Mid Gen","New Gen"))</f>
        <v>New Gen</v>
      </c>
      <c r="E349">
        <v>8</v>
      </c>
      <c r="F349">
        <v>273</v>
      </c>
      <c r="G349">
        <f>yt_sports_channels_stats[[#This Row],[view_count]]/yt_sports_channels_stats[[#This Row],[video_count]]</f>
        <v>34.125</v>
      </c>
      <c r="H349" s="4">
        <f>yt_sports_channels_stats[[#This Row],[subscriber_count]]/yt_sports_channels_stats[[#This Row],[view_count]]</f>
        <v>1.4652014652014652E-2</v>
      </c>
      <c r="I349">
        <v>4</v>
      </c>
    </row>
    <row r="350" spans="1:9" x14ac:dyDescent="0.25">
      <c r="A350" t="s">
        <v>337</v>
      </c>
      <c r="B350" s="1">
        <v>44243</v>
      </c>
      <c r="C350">
        <f>YEAR(yt_sports_channels_stats[[#This Row],[Start Date]])</f>
        <v>2021</v>
      </c>
      <c r="D350" s="1" t="str">
        <f>IF(YEAR(yt_sports_channels_stats[[#This Row],[Start Date]])&lt;2011,"Old Gen",IF(AND(YEAR(yt_sports_channels_stats[[#This Row],[Start Date]]&gt;2011),YEAR(yt_sports_channels_stats[[#This Row],[Start Date]])&lt;2020),"Mid Gen","New Gen"))</f>
        <v>New Gen</v>
      </c>
      <c r="E350">
        <v>395</v>
      </c>
      <c r="F350">
        <v>43981</v>
      </c>
      <c r="G350">
        <f>yt_sports_channels_stats[[#This Row],[view_count]]/yt_sports_channels_stats[[#This Row],[video_count]]</f>
        <v>111.34430379746836</v>
      </c>
      <c r="H350" s="4">
        <f>yt_sports_channels_stats[[#This Row],[subscriber_count]]/yt_sports_channels_stats[[#This Row],[view_count]]</f>
        <v>4.820263295513972E-2</v>
      </c>
      <c r="I350">
        <v>2120</v>
      </c>
    </row>
    <row r="351" spans="1:9" x14ac:dyDescent="0.25">
      <c r="A351" t="s">
        <v>338</v>
      </c>
      <c r="B351" s="1">
        <v>45224</v>
      </c>
      <c r="C351">
        <f>YEAR(yt_sports_channels_stats[[#This Row],[Start Date]])</f>
        <v>2023</v>
      </c>
      <c r="D351" s="1" t="str">
        <f>IF(YEAR(yt_sports_channels_stats[[#This Row],[Start Date]])&lt;2011,"Old Gen",IF(AND(YEAR(yt_sports_channels_stats[[#This Row],[Start Date]]&gt;2011),YEAR(yt_sports_channels_stats[[#This Row],[Start Date]])&lt;2020),"Mid Gen","New Gen"))</f>
        <v>New Gen</v>
      </c>
      <c r="E351">
        <v>43</v>
      </c>
      <c r="F351">
        <v>22266</v>
      </c>
      <c r="G351">
        <f>yt_sports_channels_stats[[#This Row],[view_count]]/yt_sports_channels_stats[[#This Row],[video_count]]</f>
        <v>517.81395348837214</v>
      </c>
      <c r="H351" s="4">
        <f>yt_sports_channels_stats[[#This Row],[subscriber_count]]/yt_sports_channels_stats[[#This Row],[view_count]]</f>
        <v>1.4820803018054433E-3</v>
      </c>
      <c r="I351">
        <v>33</v>
      </c>
    </row>
    <row r="352" spans="1:9" x14ac:dyDescent="0.25">
      <c r="A352" t="s">
        <v>339</v>
      </c>
      <c r="B352" s="1">
        <v>44313</v>
      </c>
      <c r="C352">
        <f>YEAR(yt_sports_channels_stats[[#This Row],[Start Date]])</f>
        <v>2021</v>
      </c>
      <c r="D352" s="1" t="str">
        <f>IF(YEAR(yt_sports_channels_stats[[#This Row],[Start Date]])&lt;2011,"Old Gen",IF(AND(YEAR(yt_sports_channels_stats[[#This Row],[Start Date]]&gt;2011),YEAR(yt_sports_channels_stats[[#This Row],[Start Date]])&lt;2020),"Mid Gen","New Gen"))</f>
        <v>New Gen</v>
      </c>
      <c r="E352">
        <v>1</v>
      </c>
      <c r="F352">
        <v>291</v>
      </c>
      <c r="G352">
        <f>yt_sports_channels_stats[[#This Row],[view_count]]/yt_sports_channels_stats[[#This Row],[video_count]]</f>
        <v>291</v>
      </c>
      <c r="H352" s="4">
        <f>yt_sports_channels_stats[[#This Row],[subscriber_count]]/yt_sports_channels_stats[[#This Row],[view_count]]</f>
        <v>0</v>
      </c>
      <c r="I352">
        <v>0</v>
      </c>
    </row>
    <row r="353" spans="1:9" x14ac:dyDescent="0.25">
      <c r="A353" t="s">
        <v>340</v>
      </c>
      <c r="B353" s="1">
        <v>44972</v>
      </c>
      <c r="C353">
        <f>YEAR(yt_sports_channels_stats[[#This Row],[Start Date]])</f>
        <v>2023</v>
      </c>
      <c r="D353" s="1" t="str">
        <f>IF(YEAR(yt_sports_channels_stats[[#This Row],[Start Date]])&lt;2011,"Old Gen",IF(AND(YEAR(yt_sports_channels_stats[[#This Row],[Start Date]]&gt;2011),YEAR(yt_sports_channels_stats[[#This Row],[Start Date]])&lt;2020),"Mid Gen","New Gen"))</f>
        <v>New Gen</v>
      </c>
      <c r="E353">
        <v>51</v>
      </c>
      <c r="F353">
        <v>97172</v>
      </c>
      <c r="G353">
        <f>yt_sports_channels_stats[[#This Row],[view_count]]/yt_sports_channels_stats[[#This Row],[video_count]]</f>
        <v>1905.3333333333333</v>
      </c>
      <c r="H353" s="4">
        <f>yt_sports_channels_stats[[#This Row],[subscriber_count]]/yt_sports_channels_stats[[#This Row],[view_count]]</f>
        <v>2.7374140698966779E-3</v>
      </c>
      <c r="I353">
        <v>266</v>
      </c>
    </row>
    <row r="354" spans="1:9" x14ac:dyDescent="0.25">
      <c r="A354" t="s">
        <v>341</v>
      </c>
      <c r="B354" s="1">
        <v>42589</v>
      </c>
      <c r="C354">
        <f>YEAR(yt_sports_channels_stats[[#This Row],[Start Date]])</f>
        <v>2016</v>
      </c>
      <c r="D354" s="1" t="str">
        <f>IF(YEAR(yt_sports_channels_stats[[#This Row],[Start Date]])&lt;2011,"Old Gen",IF(AND(YEAR(yt_sports_channels_stats[[#This Row],[Start Date]]&gt;2011),YEAR(yt_sports_channels_stats[[#This Row],[Start Date]])&lt;2020),"Mid Gen","New Gen"))</f>
        <v>Mid Gen</v>
      </c>
      <c r="E354">
        <v>89</v>
      </c>
      <c r="F354">
        <v>745139</v>
      </c>
      <c r="G354">
        <f>yt_sports_channels_stats[[#This Row],[view_count]]/yt_sports_channels_stats[[#This Row],[video_count]]</f>
        <v>8372.348314606741</v>
      </c>
      <c r="H354" s="4">
        <f>yt_sports_channels_stats[[#This Row],[subscriber_count]]/yt_sports_channels_stats[[#This Row],[view_count]]</f>
        <v>3.9455725710236611E-4</v>
      </c>
      <c r="I354">
        <v>294</v>
      </c>
    </row>
    <row r="355" spans="1:9" x14ac:dyDescent="0.25">
      <c r="A355" t="s">
        <v>342</v>
      </c>
      <c r="B355" s="1">
        <v>44993</v>
      </c>
      <c r="C355">
        <f>YEAR(yt_sports_channels_stats[[#This Row],[Start Date]])</f>
        <v>2023</v>
      </c>
      <c r="D355" s="1" t="str">
        <f>IF(YEAR(yt_sports_channels_stats[[#This Row],[Start Date]])&lt;2011,"Old Gen",IF(AND(YEAR(yt_sports_channels_stats[[#This Row],[Start Date]]&gt;2011),YEAR(yt_sports_channels_stats[[#This Row],[Start Date]])&lt;2020),"Mid Gen","New Gen"))</f>
        <v>New Gen</v>
      </c>
      <c r="E355">
        <v>8</v>
      </c>
      <c r="F355">
        <v>1368</v>
      </c>
      <c r="G355">
        <f>yt_sports_channels_stats[[#This Row],[view_count]]/yt_sports_channels_stats[[#This Row],[video_count]]</f>
        <v>171</v>
      </c>
      <c r="H355" s="4">
        <f>yt_sports_channels_stats[[#This Row],[subscriber_count]]/yt_sports_channels_stats[[#This Row],[view_count]]</f>
        <v>0</v>
      </c>
      <c r="I355">
        <v>0</v>
      </c>
    </row>
    <row r="356" spans="1:9" x14ac:dyDescent="0.25">
      <c r="A356" t="s">
        <v>343</v>
      </c>
      <c r="B356" s="1">
        <v>44481</v>
      </c>
      <c r="C356">
        <f>YEAR(yt_sports_channels_stats[[#This Row],[Start Date]])</f>
        <v>2021</v>
      </c>
      <c r="D356" s="1" t="str">
        <f>IF(YEAR(yt_sports_channels_stats[[#This Row],[Start Date]])&lt;2011,"Old Gen",IF(AND(YEAR(yt_sports_channels_stats[[#This Row],[Start Date]]&gt;2011),YEAR(yt_sports_channels_stats[[#This Row],[Start Date]])&lt;2020),"Mid Gen","New Gen"))</f>
        <v>New Gen</v>
      </c>
      <c r="E356">
        <v>18</v>
      </c>
      <c r="F356">
        <v>1039</v>
      </c>
      <c r="G356">
        <f>yt_sports_channels_stats[[#This Row],[view_count]]/yt_sports_channels_stats[[#This Row],[video_count]]</f>
        <v>57.722222222222221</v>
      </c>
      <c r="H356" s="4">
        <f>yt_sports_channels_stats[[#This Row],[subscriber_count]]/yt_sports_channels_stats[[#This Row],[view_count]]</f>
        <v>1.7324350336862367E-2</v>
      </c>
      <c r="I356">
        <v>18</v>
      </c>
    </row>
    <row r="357" spans="1:9" x14ac:dyDescent="0.25">
      <c r="A357" t="s">
        <v>344</v>
      </c>
      <c r="B357" s="1">
        <v>44791</v>
      </c>
      <c r="C357">
        <f>YEAR(yt_sports_channels_stats[[#This Row],[Start Date]])</f>
        <v>2022</v>
      </c>
      <c r="D357" s="1" t="str">
        <f>IF(YEAR(yt_sports_channels_stats[[#This Row],[Start Date]])&lt;2011,"Old Gen",IF(AND(YEAR(yt_sports_channels_stats[[#This Row],[Start Date]]&gt;2011),YEAR(yt_sports_channels_stats[[#This Row],[Start Date]])&lt;2020),"Mid Gen","New Gen"))</f>
        <v>New Gen</v>
      </c>
      <c r="E357">
        <v>48</v>
      </c>
      <c r="F357">
        <v>368923</v>
      </c>
      <c r="G357">
        <f>yt_sports_channels_stats[[#This Row],[view_count]]/yt_sports_channels_stats[[#This Row],[video_count]]</f>
        <v>7685.895833333333</v>
      </c>
      <c r="H357" s="4">
        <f>yt_sports_channels_stats[[#This Row],[subscriber_count]]/yt_sports_channels_stats[[#This Row],[view_count]]</f>
        <v>3.7948298154357415E-3</v>
      </c>
      <c r="I357">
        <v>1400</v>
      </c>
    </row>
    <row r="358" spans="1:9" x14ac:dyDescent="0.25">
      <c r="A358" t="s">
        <v>345</v>
      </c>
      <c r="B358" s="1">
        <v>44280</v>
      </c>
      <c r="C358">
        <f>YEAR(yt_sports_channels_stats[[#This Row],[Start Date]])</f>
        <v>2021</v>
      </c>
      <c r="D358" s="1" t="str">
        <f>IF(YEAR(yt_sports_channels_stats[[#This Row],[Start Date]])&lt;2011,"Old Gen",IF(AND(YEAR(yt_sports_channels_stats[[#This Row],[Start Date]]&gt;2011),YEAR(yt_sports_channels_stats[[#This Row],[Start Date]])&lt;2020),"Mid Gen","New Gen"))</f>
        <v>New Gen</v>
      </c>
      <c r="E358">
        <v>25</v>
      </c>
      <c r="F358">
        <v>32025</v>
      </c>
      <c r="G358">
        <f>yt_sports_channels_stats[[#This Row],[view_count]]/yt_sports_channels_stats[[#This Row],[video_count]]</f>
        <v>1281</v>
      </c>
      <c r="H358" s="4">
        <f>yt_sports_channels_stats[[#This Row],[subscriber_count]]/yt_sports_channels_stats[[#This Row],[view_count]]</f>
        <v>1.5893832943013272E-2</v>
      </c>
      <c r="I358">
        <v>509</v>
      </c>
    </row>
    <row r="359" spans="1:9" x14ac:dyDescent="0.25">
      <c r="A359" t="s">
        <v>134</v>
      </c>
      <c r="B359" s="1">
        <v>45341</v>
      </c>
      <c r="C359">
        <f>YEAR(yt_sports_channels_stats[[#This Row],[Start Date]])</f>
        <v>2024</v>
      </c>
      <c r="D359" s="1" t="str">
        <f>IF(YEAR(yt_sports_channels_stats[[#This Row],[Start Date]])&lt;2011,"Old Gen",IF(AND(YEAR(yt_sports_channels_stats[[#This Row],[Start Date]]&gt;2011),YEAR(yt_sports_channels_stats[[#This Row],[Start Date]])&lt;2020),"Mid Gen","New Gen"))</f>
        <v>New Gen</v>
      </c>
      <c r="E359">
        <v>11</v>
      </c>
      <c r="F359">
        <v>2593</v>
      </c>
      <c r="G359">
        <f>yt_sports_channels_stats[[#This Row],[view_count]]/yt_sports_channels_stats[[#This Row],[video_count]]</f>
        <v>235.72727272727272</v>
      </c>
      <c r="H359" s="4">
        <f>yt_sports_channels_stats[[#This Row],[subscriber_count]]/yt_sports_channels_stats[[#This Row],[view_count]]</f>
        <v>6.5561126108754338E-3</v>
      </c>
      <c r="I359">
        <v>17</v>
      </c>
    </row>
    <row r="360" spans="1:9" x14ac:dyDescent="0.25">
      <c r="A360" t="s">
        <v>484</v>
      </c>
      <c r="B360" s="1">
        <v>45260</v>
      </c>
      <c r="C360">
        <f>YEAR(yt_sports_channels_stats[[#This Row],[Start Date]])</f>
        <v>2023</v>
      </c>
      <c r="D360" s="1" t="str">
        <f>IF(YEAR(yt_sports_channels_stats[[#This Row],[Start Date]])&lt;2011,"Old Gen",IF(AND(YEAR(yt_sports_channels_stats[[#This Row],[Start Date]]&gt;2011),YEAR(yt_sports_channels_stats[[#This Row],[Start Date]])&lt;2020),"Mid Gen","New Gen"))</f>
        <v>New Gen</v>
      </c>
      <c r="E360">
        <v>6</v>
      </c>
      <c r="F360">
        <v>2591</v>
      </c>
      <c r="G360">
        <f>yt_sports_channels_stats[[#This Row],[view_count]]/yt_sports_channels_stats[[#This Row],[video_count]]</f>
        <v>431.83333333333331</v>
      </c>
      <c r="H360" s="4">
        <f>yt_sports_channels_stats[[#This Row],[subscriber_count]]/yt_sports_channels_stats[[#This Row],[view_count]]</f>
        <v>1.3122346584330374E-2</v>
      </c>
      <c r="I360">
        <v>34</v>
      </c>
    </row>
    <row r="361" spans="1:9" x14ac:dyDescent="0.25">
      <c r="A361" t="s">
        <v>346</v>
      </c>
      <c r="B361" s="1">
        <v>45009</v>
      </c>
      <c r="C361">
        <f>YEAR(yt_sports_channels_stats[[#This Row],[Start Date]])</f>
        <v>2023</v>
      </c>
      <c r="D361" s="1" t="str">
        <f>IF(YEAR(yt_sports_channels_stats[[#This Row],[Start Date]])&lt;2011,"Old Gen",IF(AND(YEAR(yt_sports_channels_stats[[#This Row],[Start Date]]&gt;2011),YEAR(yt_sports_channels_stats[[#This Row],[Start Date]])&lt;2020),"Mid Gen","New Gen"))</f>
        <v>New Gen</v>
      </c>
      <c r="E361">
        <v>2</v>
      </c>
      <c r="F361">
        <v>10</v>
      </c>
      <c r="G361">
        <f>yt_sports_channels_stats[[#This Row],[view_count]]/yt_sports_channels_stats[[#This Row],[video_count]]</f>
        <v>5</v>
      </c>
      <c r="H361" s="4">
        <f>yt_sports_channels_stats[[#This Row],[subscriber_count]]/yt_sports_channels_stats[[#This Row],[view_count]]</f>
        <v>0.5</v>
      </c>
      <c r="I361">
        <v>5</v>
      </c>
    </row>
    <row r="362" spans="1:9" x14ac:dyDescent="0.25">
      <c r="A362" t="s">
        <v>347</v>
      </c>
      <c r="B362" s="1">
        <v>45186</v>
      </c>
      <c r="C362">
        <f>YEAR(yt_sports_channels_stats[[#This Row],[Start Date]])</f>
        <v>2023</v>
      </c>
      <c r="D362" s="1" t="str">
        <f>IF(YEAR(yt_sports_channels_stats[[#This Row],[Start Date]])&lt;2011,"Old Gen",IF(AND(YEAR(yt_sports_channels_stats[[#This Row],[Start Date]]&gt;2011),YEAR(yt_sports_channels_stats[[#This Row],[Start Date]])&lt;2020),"Mid Gen","New Gen"))</f>
        <v>New Gen</v>
      </c>
      <c r="E362">
        <v>97</v>
      </c>
      <c r="F362">
        <v>19167</v>
      </c>
      <c r="G362">
        <f>yt_sports_channels_stats[[#This Row],[view_count]]/yt_sports_channels_stats[[#This Row],[video_count]]</f>
        <v>197.5979381443299</v>
      </c>
      <c r="H362" s="4">
        <f>yt_sports_channels_stats[[#This Row],[subscriber_count]]/yt_sports_channels_stats[[#This Row],[view_count]]</f>
        <v>6.3651066937966292E-3</v>
      </c>
      <c r="I362">
        <v>122</v>
      </c>
    </row>
    <row r="363" spans="1:9" x14ac:dyDescent="0.25">
      <c r="A363" t="s">
        <v>485</v>
      </c>
      <c r="B363" s="1">
        <v>45192</v>
      </c>
      <c r="C363">
        <f>YEAR(yt_sports_channels_stats[[#This Row],[Start Date]])</f>
        <v>2023</v>
      </c>
      <c r="D363" s="1" t="str">
        <f>IF(YEAR(yt_sports_channels_stats[[#This Row],[Start Date]])&lt;2011,"Old Gen",IF(AND(YEAR(yt_sports_channels_stats[[#This Row],[Start Date]]&gt;2011),YEAR(yt_sports_channels_stats[[#This Row],[Start Date]])&lt;2020),"Mid Gen","New Gen"))</f>
        <v>New Gen</v>
      </c>
      <c r="E363">
        <v>1</v>
      </c>
      <c r="F363">
        <v>2</v>
      </c>
      <c r="G363">
        <f>yt_sports_channels_stats[[#This Row],[view_count]]/yt_sports_channels_stats[[#This Row],[video_count]]</f>
        <v>2</v>
      </c>
      <c r="H363" s="4">
        <f>yt_sports_channels_stats[[#This Row],[subscriber_count]]/yt_sports_channels_stats[[#This Row],[view_count]]</f>
        <v>0</v>
      </c>
      <c r="I363">
        <v>0</v>
      </c>
    </row>
    <row r="364" spans="1:9" x14ac:dyDescent="0.25">
      <c r="A364" t="s">
        <v>486</v>
      </c>
      <c r="B364" s="1">
        <v>44734</v>
      </c>
      <c r="C364">
        <f>YEAR(yt_sports_channels_stats[[#This Row],[Start Date]])</f>
        <v>2022</v>
      </c>
      <c r="D364" s="1" t="str">
        <f>IF(YEAR(yt_sports_channels_stats[[#This Row],[Start Date]])&lt;2011,"Old Gen",IF(AND(YEAR(yt_sports_channels_stats[[#This Row],[Start Date]]&gt;2011),YEAR(yt_sports_channels_stats[[#This Row],[Start Date]])&lt;2020),"Mid Gen","New Gen"))</f>
        <v>New Gen</v>
      </c>
      <c r="E364">
        <v>78</v>
      </c>
      <c r="F364">
        <v>41372</v>
      </c>
      <c r="G364">
        <f>yt_sports_channels_stats[[#This Row],[view_count]]/yt_sports_channels_stats[[#This Row],[video_count]]</f>
        <v>530.41025641025647</v>
      </c>
      <c r="H364" s="4">
        <f>yt_sports_channels_stats[[#This Row],[subscriber_count]]/yt_sports_channels_stats[[#This Row],[view_count]]</f>
        <v>3.698153340423475E-3</v>
      </c>
      <c r="I364">
        <v>153</v>
      </c>
    </row>
    <row r="365" spans="1:9" x14ac:dyDescent="0.25">
      <c r="A365" t="s">
        <v>348</v>
      </c>
      <c r="B365" s="1">
        <v>44600</v>
      </c>
      <c r="C365">
        <f>YEAR(yt_sports_channels_stats[[#This Row],[Start Date]])</f>
        <v>2022</v>
      </c>
      <c r="D365" s="1" t="str">
        <f>IF(YEAR(yt_sports_channels_stats[[#This Row],[Start Date]])&lt;2011,"Old Gen",IF(AND(YEAR(yt_sports_channels_stats[[#This Row],[Start Date]]&gt;2011),YEAR(yt_sports_channels_stats[[#This Row],[Start Date]])&lt;2020),"Mid Gen","New Gen"))</f>
        <v>New Gen</v>
      </c>
      <c r="E365">
        <v>8</v>
      </c>
      <c r="F365">
        <v>26347</v>
      </c>
      <c r="G365">
        <f>yt_sports_channels_stats[[#This Row],[view_count]]/yt_sports_channels_stats[[#This Row],[video_count]]</f>
        <v>3293.375</v>
      </c>
      <c r="H365" s="4">
        <f>yt_sports_channels_stats[[#This Row],[subscriber_count]]/yt_sports_channels_stats[[#This Row],[view_count]]</f>
        <v>7.4771321213041335E-3</v>
      </c>
      <c r="I365">
        <v>197</v>
      </c>
    </row>
    <row r="366" spans="1:9" x14ac:dyDescent="0.25">
      <c r="A366" t="s">
        <v>349</v>
      </c>
      <c r="B366" s="1">
        <v>45195</v>
      </c>
      <c r="C366">
        <f>YEAR(yt_sports_channels_stats[[#This Row],[Start Date]])</f>
        <v>2023</v>
      </c>
      <c r="D366" s="1" t="str">
        <f>IF(YEAR(yt_sports_channels_stats[[#This Row],[Start Date]])&lt;2011,"Old Gen",IF(AND(YEAR(yt_sports_channels_stats[[#This Row],[Start Date]]&gt;2011),YEAR(yt_sports_channels_stats[[#This Row],[Start Date]])&lt;2020),"Mid Gen","New Gen"))</f>
        <v>New Gen</v>
      </c>
      <c r="E366">
        <v>8</v>
      </c>
      <c r="F366">
        <v>1040</v>
      </c>
      <c r="G366">
        <f>yt_sports_channels_stats[[#This Row],[view_count]]/yt_sports_channels_stats[[#This Row],[video_count]]</f>
        <v>130</v>
      </c>
      <c r="H366" s="4">
        <f>yt_sports_channels_stats[[#This Row],[subscriber_count]]/yt_sports_channels_stats[[#This Row],[view_count]]</f>
        <v>3.1730769230769229E-2</v>
      </c>
      <c r="I366">
        <v>33</v>
      </c>
    </row>
    <row r="367" spans="1:9" x14ac:dyDescent="0.25">
      <c r="A367" t="s">
        <v>350</v>
      </c>
      <c r="B367" s="1">
        <v>45312</v>
      </c>
      <c r="C367">
        <f>YEAR(yt_sports_channels_stats[[#This Row],[Start Date]])</f>
        <v>2024</v>
      </c>
      <c r="D367" s="1" t="str">
        <f>IF(YEAR(yt_sports_channels_stats[[#This Row],[Start Date]])&lt;2011,"Old Gen",IF(AND(YEAR(yt_sports_channels_stats[[#This Row],[Start Date]]&gt;2011),YEAR(yt_sports_channels_stats[[#This Row],[Start Date]])&lt;2020),"Mid Gen","New Gen"))</f>
        <v>New Gen</v>
      </c>
      <c r="E367">
        <v>14</v>
      </c>
      <c r="F367">
        <v>151</v>
      </c>
      <c r="G367">
        <f>yt_sports_channels_stats[[#This Row],[view_count]]/yt_sports_channels_stats[[#This Row],[video_count]]</f>
        <v>10.785714285714286</v>
      </c>
      <c r="H367" s="4">
        <f>yt_sports_channels_stats[[#This Row],[subscriber_count]]/yt_sports_channels_stats[[#This Row],[view_count]]</f>
        <v>1.9867549668874173E-2</v>
      </c>
      <c r="I367">
        <v>3</v>
      </c>
    </row>
    <row r="368" spans="1:9" x14ac:dyDescent="0.25">
      <c r="A368" t="s">
        <v>351</v>
      </c>
      <c r="B368" s="1">
        <v>44980</v>
      </c>
      <c r="C368">
        <f>YEAR(yt_sports_channels_stats[[#This Row],[Start Date]])</f>
        <v>2023</v>
      </c>
      <c r="D368" s="1" t="str">
        <f>IF(YEAR(yt_sports_channels_stats[[#This Row],[Start Date]])&lt;2011,"Old Gen",IF(AND(YEAR(yt_sports_channels_stats[[#This Row],[Start Date]]&gt;2011),YEAR(yt_sports_channels_stats[[#This Row],[Start Date]])&lt;2020),"Mid Gen","New Gen"))</f>
        <v>New Gen</v>
      </c>
      <c r="E368">
        <v>11</v>
      </c>
      <c r="F368">
        <v>760</v>
      </c>
      <c r="G368">
        <f>yt_sports_channels_stats[[#This Row],[view_count]]/yt_sports_channels_stats[[#This Row],[video_count]]</f>
        <v>69.090909090909093</v>
      </c>
      <c r="H368" s="4">
        <f>yt_sports_channels_stats[[#This Row],[subscriber_count]]/yt_sports_channels_stats[[#This Row],[view_count]]</f>
        <v>5.2631578947368418E-2</v>
      </c>
      <c r="I368">
        <v>40</v>
      </c>
    </row>
    <row r="369" spans="1:9" x14ac:dyDescent="0.25">
      <c r="A369" t="s">
        <v>352</v>
      </c>
      <c r="B369" s="1">
        <v>44504</v>
      </c>
      <c r="C369">
        <f>YEAR(yt_sports_channels_stats[[#This Row],[Start Date]])</f>
        <v>2021</v>
      </c>
      <c r="D369" s="1" t="str">
        <f>IF(YEAR(yt_sports_channels_stats[[#This Row],[Start Date]])&lt;2011,"Old Gen",IF(AND(YEAR(yt_sports_channels_stats[[#This Row],[Start Date]]&gt;2011),YEAR(yt_sports_channels_stats[[#This Row],[Start Date]])&lt;2020),"Mid Gen","New Gen"))</f>
        <v>New Gen</v>
      </c>
      <c r="E369">
        <v>269</v>
      </c>
      <c r="F369">
        <v>331679</v>
      </c>
      <c r="G369">
        <f>yt_sports_channels_stats[[#This Row],[view_count]]/yt_sports_channels_stats[[#This Row],[video_count]]</f>
        <v>1233.007434944238</v>
      </c>
      <c r="H369" s="4">
        <f>yt_sports_channels_stats[[#This Row],[subscriber_count]]/yt_sports_channels_stats[[#This Row],[view_count]]</f>
        <v>3.8591529762209849E-3</v>
      </c>
      <c r="I369">
        <v>1280</v>
      </c>
    </row>
    <row r="370" spans="1:9" x14ac:dyDescent="0.25">
      <c r="A370" t="s">
        <v>353</v>
      </c>
      <c r="B370" s="1">
        <v>43329</v>
      </c>
      <c r="C370">
        <f>YEAR(yt_sports_channels_stats[[#This Row],[Start Date]])</f>
        <v>2018</v>
      </c>
      <c r="D370" s="1" t="str">
        <f>IF(YEAR(yt_sports_channels_stats[[#This Row],[Start Date]])&lt;2011,"Old Gen",IF(AND(YEAR(yt_sports_channels_stats[[#This Row],[Start Date]]&gt;2011),YEAR(yt_sports_channels_stats[[#This Row],[Start Date]])&lt;2020),"Mid Gen","New Gen"))</f>
        <v>Mid Gen</v>
      </c>
      <c r="E370">
        <v>99</v>
      </c>
      <c r="F370">
        <v>36978</v>
      </c>
      <c r="G370">
        <f>yt_sports_channels_stats[[#This Row],[view_count]]/yt_sports_channels_stats[[#This Row],[video_count]]</f>
        <v>373.5151515151515</v>
      </c>
      <c r="H370" s="4">
        <f>yt_sports_channels_stats[[#This Row],[subscriber_count]]/yt_sports_channels_stats[[#This Row],[view_count]]</f>
        <v>5.4086213424198171E-4</v>
      </c>
      <c r="I370">
        <v>20</v>
      </c>
    </row>
    <row r="371" spans="1:9" x14ac:dyDescent="0.25">
      <c r="A371" t="s">
        <v>354</v>
      </c>
      <c r="B371" s="1">
        <v>45079</v>
      </c>
      <c r="C371">
        <f>YEAR(yt_sports_channels_stats[[#This Row],[Start Date]])</f>
        <v>2023</v>
      </c>
      <c r="D371" s="1" t="str">
        <f>IF(YEAR(yt_sports_channels_stats[[#This Row],[Start Date]])&lt;2011,"Old Gen",IF(AND(YEAR(yt_sports_channels_stats[[#This Row],[Start Date]]&gt;2011),YEAR(yt_sports_channels_stats[[#This Row],[Start Date]])&lt;2020),"Mid Gen","New Gen"))</f>
        <v>New Gen</v>
      </c>
      <c r="E371">
        <v>3</v>
      </c>
      <c r="F371">
        <v>1259</v>
      </c>
      <c r="G371">
        <f>yt_sports_channels_stats[[#This Row],[view_count]]/yt_sports_channels_stats[[#This Row],[video_count]]</f>
        <v>419.66666666666669</v>
      </c>
      <c r="H371" s="4">
        <f>yt_sports_channels_stats[[#This Row],[subscriber_count]]/yt_sports_channels_stats[[#This Row],[view_count]]</f>
        <v>1.9857029388403495E-2</v>
      </c>
      <c r="I371">
        <v>25</v>
      </c>
    </row>
    <row r="372" spans="1:9" x14ac:dyDescent="0.25">
      <c r="A372" t="s">
        <v>355</v>
      </c>
      <c r="B372" s="1">
        <v>45320</v>
      </c>
      <c r="C372">
        <f>YEAR(yt_sports_channels_stats[[#This Row],[Start Date]])</f>
        <v>2024</v>
      </c>
      <c r="D372" s="1" t="str">
        <f>IF(YEAR(yt_sports_channels_stats[[#This Row],[Start Date]])&lt;2011,"Old Gen",IF(AND(YEAR(yt_sports_channels_stats[[#This Row],[Start Date]]&gt;2011),YEAR(yt_sports_channels_stats[[#This Row],[Start Date]])&lt;2020),"Mid Gen","New Gen"))</f>
        <v>New Gen</v>
      </c>
      <c r="E372">
        <v>22</v>
      </c>
      <c r="F372">
        <v>4665</v>
      </c>
      <c r="G372">
        <f>yt_sports_channels_stats[[#This Row],[view_count]]/yt_sports_channels_stats[[#This Row],[video_count]]</f>
        <v>212.04545454545453</v>
      </c>
      <c r="H372" s="4">
        <f>yt_sports_channels_stats[[#This Row],[subscriber_count]]/yt_sports_channels_stats[[#This Row],[view_count]]</f>
        <v>5.144694533762058E-3</v>
      </c>
      <c r="I372">
        <v>24</v>
      </c>
    </row>
    <row r="373" spans="1:9" x14ac:dyDescent="0.25">
      <c r="A373" t="s">
        <v>356</v>
      </c>
      <c r="B373" s="1">
        <v>45233</v>
      </c>
      <c r="C373">
        <f>YEAR(yt_sports_channels_stats[[#This Row],[Start Date]])</f>
        <v>2023</v>
      </c>
      <c r="D373" s="1" t="str">
        <f>IF(YEAR(yt_sports_channels_stats[[#This Row],[Start Date]])&lt;2011,"Old Gen",IF(AND(YEAR(yt_sports_channels_stats[[#This Row],[Start Date]]&gt;2011),YEAR(yt_sports_channels_stats[[#This Row],[Start Date]])&lt;2020),"Mid Gen","New Gen"))</f>
        <v>New Gen</v>
      </c>
      <c r="E373">
        <v>12</v>
      </c>
      <c r="F373">
        <v>376</v>
      </c>
      <c r="G373">
        <f>yt_sports_channels_stats[[#This Row],[view_count]]/yt_sports_channels_stats[[#This Row],[video_count]]</f>
        <v>31.333333333333332</v>
      </c>
      <c r="H373" s="4">
        <f>yt_sports_channels_stats[[#This Row],[subscriber_count]]/yt_sports_channels_stats[[#This Row],[view_count]]</f>
        <v>7.9787234042553185E-3</v>
      </c>
      <c r="I373">
        <v>3</v>
      </c>
    </row>
    <row r="374" spans="1:9" x14ac:dyDescent="0.25">
      <c r="A374" t="s">
        <v>487</v>
      </c>
      <c r="B374" s="1">
        <v>45162</v>
      </c>
      <c r="C374">
        <f>YEAR(yt_sports_channels_stats[[#This Row],[Start Date]])</f>
        <v>2023</v>
      </c>
      <c r="D374" s="1" t="str">
        <f>IF(YEAR(yt_sports_channels_stats[[#This Row],[Start Date]])&lt;2011,"Old Gen",IF(AND(YEAR(yt_sports_channels_stats[[#This Row],[Start Date]]&gt;2011),YEAR(yt_sports_channels_stats[[#This Row],[Start Date]])&lt;2020),"Mid Gen","New Gen"))</f>
        <v>New Gen</v>
      </c>
      <c r="E374">
        <v>5</v>
      </c>
      <c r="F374">
        <v>32</v>
      </c>
      <c r="G374">
        <f>yt_sports_channels_stats[[#This Row],[view_count]]/yt_sports_channels_stats[[#This Row],[video_count]]</f>
        <v>6.4</v>
      </c>
      <c r="H374" s="4">
        <f>yt_sports_channels_stats[[#This Row],[subscriber_count]]/yt_sports_channels_stats[[#This Row],[view_count]]</f>
        <v>6.25E-2</v>
      </c>
      <c r="I374">
        <v>2</v>
      </c>
    </row>
    <row r="375" spans="1:9" x14ac:dyDescent="0.25">
      <c r="A375" t="s">
        <v>357</v>
      </c>
      <c r="B375" s="1">
        <v>44895</v>
      </c>
      <c r="C375">
        <f>YEAR(yt_sports_channels_stats[[#This Row],[Start Date]])</f>
        <v>2022</v>
      </c>
      <c r="D375" s="1" t="str">
        <f>IF(YEAR(yt_sports_channels_stats[[#This Row],[Start Date]])&lt;2011,"Old Gen",IF(AND(YEAR(yt_sports_channels_stats[[#This Row],[Start Date]]&gt;2011),YEAR(yt_sports_channels_stats[[#This Row],[Start Date]])&lt;2020),"Mid Gen","New Gen"))</f>
        <v>New Gen</v>
      </c>
      <c r="E375">
        <v>9</v>
      </c>
      <c r="F375">
        <v>2661</v>
      </c>
      <c r="G375">
        <f>yt_sports_channels_stats[[#This Row],[view_count]]/yt_sports_channels_stats[[#This Row],[video_count]]</f>
        <v>295.66666666666669</v>
      </c>
      <c r="H375" s="4">
        <f>yt_sports_channels_stats[[#This Row],[subscriber_count]]/yt_sports_channels_stats[[#This Row],[view_count]]</f>
        <v>7.5159714393085303E-4</v>
      </c>
      <c r="I375">
        <v>2</v>
      </c>
    </row>
    <row r="376" spans="1:9" x14ac:dyDescent="0.25">
      <c r="A376" t="s">
        <v>334</v>
      </c>
      <c r="B376" s="1">
        <v>45261</v>
      </c>
      <c r="C376">
        <f>YEAR(yt_sports_channels_stats[[#This Row],[Start Date]])</f>
        <v>2023</v>
      </c>
      <c r="D376" s="1" t="str">
        <f>IF(YEAR(yt_sports_channels_stats[[#This Row],[Start Date]])&lt;2011,"Old Gen",IF(AND(YEAR(yt_sports_channels_stats[[#This Row],[Start Date]]&gt;2011),YEAR(yt_sports_channels_stats[[#This Row],[Start Date]])&lt;2020),"Mid Gen","New Gen"))</f>
        <v>New Gen</v>
      </c>
      <c r="E376">
        <v>8</v>
      </c>
      <c r="F376">
        <v>50</v>
      </c>
      <c r="G376">
        <f>yt_sports_channels_stats[[#This Row],[view_count]]/yt_sports_channels_stats[[#This Row],[video_count]]</f>
        <v>6.25</v>
      </c>
      <c r="H376" s="4">
        <f>yt_sports_channels_stats[[#This Row],[subscriber_count]]/yt_sports_channels_stats[[#This Row],[view_count]]</f>
        <v>0</v>
      </c>
      <c r="I376">
        <v>0</v>
      </c>
    </row>
    <row r="377" spans="1:9" x14ac:dyDescent="0.25">
      <c r="A377" t="s">
        <v>358</v>
      </c>
      <c r="B377" s="1">
        <v>44442</v>
      </c>
      <c r="C377">
        <f>YEAR(yt_sports_channels_stats[[#This Row],[Start Date]])</f>
        <v>2021</v>
      </c>
      <c r="D377" s="1" t="str">
        <f>IF(YEAR(yt_sports_channels_stats[[#This Row],[Start Date]])&lt;2011,"Old Gen",IF(AND(YEAR(yt_sports_channels_stats[[#This Row],[Start Date]]&gt;2011),YEAR(yt_sports_channels_stats[[#This Row],[Start Date]])&lt;2020),"Mid Gen","New Gen"))</f>
        <v>New Gen</v>
      </c>
      <c r="E377">
        <v>22</v>
      </c>
      <c r="F377">
        <v>3076</v>
      </c>
      <c r="G377">
        <f>yt_sports_channels_stats[[#This Row],[view_count]]/yt_sports_channels_stats[[#This Row],[video_count]]</f>
        <v>139.81818181818181</v>
      </c>
      <c r="H377" s="4">
        <f>yt_sports_channels_stats[[#This Row],[subscriber_count]]/yt_sports_channels_stats[[#This Row],[view_count]]</f>
        <v>6.8920676202860853E-2</v>
      </c>
      <c r="I377">
        <v>212</v>
      </c>
    </row>
    <row r="378" spans="1:9" x14ac:dyDescent="0.25">
      <c r="A378" t="s">
        <v>359</v>
      </c>
      <c r="B378" s="1">
        <v>45210</v>
      </c>
      <c r="C378">
        <f>YEAR(yt_sports_channels_stats[[#This Row],[Start Date]])</f>
        <v>2023</v>
      </c>
      <c r="D378" s="1" t="str">
        <f>IF(YEAR(yt_sports_channels_stats[[#This Row],[Start Date]])&lt;2011,"Old Gen",IF(AND(YEAR(yt_sports_channels_stats[[#This Row],[Start Date]]&gt;2011),YEAR(yt_sports_channels_stats[[#This Row],[Start Date]])&lt;2020),"Mid Gen","New Gen"))</f>
        <v>New Gen</v>
      </c>
      <c r="E378">
        <v>2</v>
      </c>
      <c r="F378">
        <v>2432</v>
      </c>
      <c r="G378">
        <f>yt_sports_channels_stats[[#This Row],[view_count]]/yt_sports_channels_stats[[#This Row],[video_count]]</f>
        <v>1216</v>
      </c>
      <c r="H378" s="4">
        <f>yt_sports_channels_stats[[#This Row],[subscriber_count]]/yt_sports_channels_stats[[#This Row],[view_count]]</f>
        <v>1.6447368421052631E-3</v>
      </c>
      <c r="I378">
        <v>4</v>
      </c>
    </row>
    <row r="379" spans="1:9" x14ac:dyDescent="0.25">
      <c r="A379" t="s">
        <v>360</v>
      </c>
      <c r="B379" s="1">
        <v>44756</v>
      </c>
      <c r="C379">
        <f>YEAR(yt_sports_channels_stats[[#This Row],[Start Date]])</f>
        <v>2022</v>
      </c>
      <c r="D379" s="1" t="str">
        <f>IF(YEAR(yt_sports_channels_stats[[#This Row],[Start Date]])&lt;2011,"Old Gen",IF(AND(YEAR(yt_sports_channels_stats[[#This Row],[Start Date]]&gt;2011),YEAR(yt_sports_channels_stats[[#This Row],[Start Date]])&lt;2020),"Mid Gen","New Gen"))</f>
        <v>New Gen</v>
      </c>
      <c r="E379">
        <v>4</v>
      </c>
      <c r="F379">
        <v>16</v>
      </c>
      <c r="G379">
        <f>yt_sports_channels_stats[[#This Row],[view_count]]/yt_sports_channels_stats[[#This Row],[video_count]]</f>
        <v>4</v>
      </c>
      <c r="H379" s="4">
        <f>yt_sports_channels_stats[[#This Row],[subscriber_count]]/yt_sports_channels_stats[[#This Row],[view_count]]</f>
        <v>0</v>
      </c>
      <c r="I379">
        <v>0</v>
      </c>
    </row>
    <row r="380" spans="1:9" x14ac:dyDescent="0.25">
      <c r="A380" t="s">
        <v>488</v>
      </c>
      <c r="B380" s="1">
        <v>44850</v>
      </c>
      <c r="C380">
        <f>YEAR(yt_sports_channels_stats[[#This Row],[Start Date]])</f>
        <v>2022</v>
      </c>
      <c r="D380" s="1" t="str">
        <f>IF(YEAR(yt_sports_channels_stats[[#This Row],[Start Date]])&lt;2011,"Old Gen",IF(AND(YEAR(yt_sports_channels_stats[[#This Row],[Start Date]]&gt;2011),YEAR(yt_sports_channels_stats[[#This Row],[Start Date]])&lt;2020),"Mid Gen","New Gen"))</f>
        <v>New Gen</v>
      </c>
      <c r="E380">
        <v>155</v>
      </c>
      <c r="F380">
        <v>17698498</v>
      </c>
      <c r="G380">
        <f>yt_sports_channels_stats[[#This Row],[view_count]]/yt_sports_channels_stats[[#This Row],[video_count]]</f>
        <v>114183.85806451613</v>
      </c>
      <c r="H380" s="4">
        <f>yt_sports_channels_stats[[#This Row],[subscriber_count]]/yt_sports_channels_stats[[#This Row],[view_count]]</f>
        <v>2.1414246564877993E-3</v>
      </c>
      <c r="I380">
        <v>37900</v>
      </c>
    </row>
    <row r="381" spans="1:9" x14ac:dyDescent="0.25">
      <c r="A381" t="s">
        <v>361</v>
      </c>
      <c r="B381" s="1">
        <v>44573</v>
      </c>
      <c r="C381">
        <f>YEAR(yt_sports_channels_stats[[#This Row],[Start Date]])</f>
        <v>2022</v>
      </c>
      <c r="D381" s="1" t="str">
        <f>IF(YEAR(yt_sports_channels_stats[[#This Row],[Start Date]])&lt;2011,"Old Gen",IF(AND(YEAR(yt_sports_channels_stats[[#This Row],[Start Date]]&gt;2011),YEAR(yt_sports_channels_stats[[#This Row],[Start Date]])&lt;2020),"Mid Gen","New Gen"))</f>
        <v>New Gen</v>
      </c>
      <c r="E381">
        <v>10</v>
      </c>
      <c r="F381">
        <v>2136</v>
      </c>
      <c r="G381">
        <f>yt_sports_channels_stats[[#This Row],[view_count]]/yt_sports_channels_stats[[#This Row],[video_count]]</f>
        <v>213.6</v>
      </c>
      <c r="H381" s="4">
        <f>yt_sports_channels_stats[[#This Row],[subscriber_count]]/yt_sports_channels_stats[[#This Row],[view_count]]</f>
        <v>2.3408239700374533E-3</v>
      </c>
      <c r="I381">
        <v>5</v>
      </c>
    </row>
    <row r="382" spans="1:9" x14ac:dyDescent="0.25">
      <c r="A382" t="s">
        <v>489</v>
      </c>
      <c r="B382" s="1">
        <v>45203</v>
      </c>
      <c r="C382">
        <f>YEAR(yt_sports_channels_stats[[#This Row],[Start Date]])</f>
        <v>2023</v>
      </c>
      <c r="D382" s="1" t="str">
        <f>IF(YEAR(yt_sports_channels_stats[[#This Row],[Start Date]])&lt;2011,"Old Gen",IF(AND(YEAR(yt_sports_channels_stats[[#This Row],[Start Date]]&gt;2011),YEAR(yt_sports_channels_stats[[#This Row],[Start Date]])&lt;2020),"Mid Gen","New Gen"))</f>
        <v>New Gen</v>
      </c>
      <c r="E382">
        <v>19</v>
      </c>
      <c r="F382">
        <v>23511</v>
      </c>
      <c r="G382">
        <f>yt_sports_channels_stats[[#This Row],[view_count]]/yt_sports_channels_stats[[#This Row],[video_count]]</f>
        <v>1237.421052631579</v>
      </c>
      <c r="H382" s="4">
        <f>yt_sports_channels_stats[[#This Row],[subscriber_count]]/yt_sports_channels_stats[[#This Row],[view_count]]</f>
        <v>2.7221300667772531E-3</v>
      </c>
      <c r="I382">
        <v>64</v>
      </c>
    </row>
    <row r="383" spans="1:9" x14ac:dyDescent="0.25">
      <c r="A383" t="s">
        <v>362</v>
      </c>
      <c r="B383" s="1">
        <v>44929</v>
      </c>
      <c r="C383">
        <f>YEAR(yt_sports_channels_stats[[#This Row],[Start Date]])</f>
        <v>2023</v>
      </c>
      <c r="D383" s="1" t="str">
        <f>IF(YEAR(yt_sports_channels_stats[[#This Row],[Start Date]])&lt;2011,"Old Gen",IF(AND(YEAR(yt_sports_channels_stats[[#This Row],[Start Date]]&gt;2011),YEAR(yt_sports_channels_stats[[#This Row],[Start Date]])&lt;2020),"Mid Gen","New Gen"))</f>
        <v>New Gen</v>
      </c>
      <c r="E383">
        <v>14</v>
      </c>
      <c r="F383">
        <v>7013</v>
      </c>
      <c r="G383">
        <f>yt_sports_channels_stats[[#This Row],[view_count]]/yt_sports_channels_stats[[#This Row],[video_count]]</f>
        <v>500.92857142857144</v>
      </c>
      <c r="H383" s="4">
        <f>yt_sports_channels_stats[[#This Row],[subscriber_count]]/yt_sports_channels_stats[[#This Row],[view_count]]</f>
        <v>2.4240695850563242E-3</v>
      </c>
      <c r="I383">
        <v>17</v>
      </c>
    </row>
    <row r="384" spans="1:9" x14ac:dyDescent="0.25">
      <c r="A384" t="s">
        <v>363</v>
      </c>
      <c r="B384" s="1">
        <v>42501</v>
      </c>
      <c r="C384">
        <f>YEAR(yt_sports_channels_stats[[#This Row],[Start Date]])</f>
        <v>2016</v>
      </c>
      <c r="D384" s="1" t="str">
        <f>IF(YEAR(yt_sports_channels_stats[[#This Row],[Start Date]])&lt;2011,"Old Gen",IF(AND(YEAR(yt_sports_channels_stats[[#This Row],[Start Date]]&gt;2011),YEAR(yt_sports_channels_stats[[#This Row],[Start Date]])&lt;2020),"Mid Gen","New Gen"))</f>
        <v>Mid Gen</v>
      </c>
      <c r="E384">
        <v>11</v>
      </c>
      <c r="F384">
        <v>318</v>
      </c>
      <c r="G384">
        <f>yt_sports_channels_stats[[#This Row],[view_count]]/yt_sports_channels_stats[[#This Row],[video_count]]</f>
        <v>28.90909090909091</v>
      </c>
      <c r="H384" s="4">
        <f>yt_sports_channels_stats[[#This Row],[subscriber_count]]/yt_sports_channels_stats[[#This Row],[view_count]]</f>
        <v>9.433962264150943E-3</v>
      </c>
      <c r="I384">
        <v>3</v>
      </c>
    </row>
    <row r="385" spans="1:9" x14ac:dyDescent="0.25">
      <c r="A385" t="s">
        <v>364</v>
      </c>
      <c r="B385" s="1">
        <v>41468</v>
      </c>
      <c r="C385">
        <f>YEAR(yt_sports_channels_stats[[#This Row],[Start Date]])</f>
        <v>2013</v>
      </c>
      <c r="D385" s="1" t="str">
        <f>IF(YEAR(yt_sports_channels_stats[[#This Row],[Start Date]])&lt;2011,"Old Gen",IF(AND(YEAR(yt_sports_channels_stats[[#This Row],[Start Date]]&gt;2011),YEAR(yt_sports_channels_stats[[#This Row],[Start Date]])&lt;2020),"Mid Gen","New Gen"))</f>
        <v>Mid Gen</v>
      </c>
      <c r="E385">
        <v>217</v>
      </c>
      <c r="F385">
        <v>253431</v>
      </c>
      <c r="G385">
        <f>yt_sports_channels_stats[[#This Row],[view_count]]/yt_sports_channels_stats[[#This Row],[video_count]]</f>
        <v>1167.8847926267281</v>
      </c>
      <c r="H385" s="4">
        <f>yt_sports_channels_stats[[#This Row],[subscriber_count]]/yt_sports_channels_stats[[#This Row],[view_count]]</f>
        <v>1.2074292410952094E-3</v>
      </c>
      <c r="I385">
        <v>306</v>
      </c>
    </row>
    <row r="386" spans="1:9" x14ac:dyDescent="0.25">
      <c r="A386" t="s">
        <v>365</v>
      </c>
      <c r="B386" s="1">
        <v>44027</v>
      </c>
      <c r="C386">
        <f>YEAR(yt_sports_channels_stats[[#This Row],[Start Date]])</f>
        <v>2020</v>
      </c>
      <c r="D386" s="1" t="str">
        <f>IF(YEAR(yt_sports_channels_stats[[#This Row],[Start Date]])&lt;2011,"Old Gen",IF(AND(YEAR(yt_sports_channels_stats[[#This Row],[Start Date]]&gt;2011),YEAR(yt_sports_channels_stats[[#This Row],[Start Date]])&lt;2020),"Mid Gen","New Gen"))</f>
        <v>New Gen</v>
      </c>
      <c r="E386">
        <v>4</v>
      </c>
      <c r="F386">
        <v>265</v>
      </c>
      <c r="G386">
        <f>yt_sports_channels_stats[[#This Row],[view_count]]/yt_sports_channels_stats[[#This Row],[video_count]]</f>
        <v>66.25</v>
      </c>
      <c r="H386" s="4">
        <f>yt_sports_channels_stats[[#This Row],[subscriber_count]]/yt_sports_channels_stats[[#This Row],[view_count]]</f>
        <v>7.5471698113207548E-3</v>
      </c>
      <c r="I386">
        <v>2</v>
      </c>
    </row>
    <row r="387" spans="1:9" x14ac:dyDescent="0.25">
      <c r="A387" t="s">
        <v>366</v>
      </c>
      <c r="B387" s="1">
        <v>43138</v>
      </c>
      <c r="C387">
        <f>YEAR(yt_sports_channels_stats[[#This Row],[Start Date]])</f>
        <v>2018</v>
      </c>
      <c r="D387" s="1" t="str">
        <f>IF(YEAR(yt_sports_channels_stats[[#This Row],[Start Date]])&lt;2011,"Old Gen",IF(AND(YEAR(yt_sports_channels_stats[[#This Row],[Start Date]]&gt;2011),YEAR(yt_sports_channels_stats[[#This Row],[Start Date]])&lt;2020),"Mid Gen","New Gen"))</f>
        <v>Mid Gen</v>
      </c>
      <c r="E387">
        <v>1</v>
      </c>
      <c r="F387">
        <v>16</v>
      </c>
      <c r="G387">
        <f>yt_sports_channels_stats[[#This Row],[view_count]]/yt_sports_channels_stats[[#This Row],[video_count]]</f>
        <v>16</v>
      </c>
      <c r="H387" s="4">
        <f>yt_sports_channels_stats[[#This Row],[subscriber_count]]/yt_sports_channels_stats[[#This Row],[view_count]]</f>
        <v>0</v>
      </c>
      <c r="I387">
        <v>0</v>
      </c>
    </row>
    <row r="388" spans="1:9" x14ac:dyDescent="0.25">
      <c r="A388" t="s">
        <v>367</v>
      </c>
      <c r="B388" s="1">
        <v>45358</v>
      </c>
      <c r="C388">
        <f>YEAR(yt_sports_channels_stats[[#This Row],[Start Date]])</f>
        <v>2024</v>
      </c>
      <c r="D388" s="1" t="str">
        <f>IF(YEAR(yt_sports_channels_stats[[#This Row],[Start Date]])&lt;2011,"Old Gen",IF(AND(YEAR(yt_sports_channels_stats[[#This Row],[Start Date]]&gt;2011),YEAR(yt_sports_channels_stats[[#This Row],[Start Date]])&lt;2020),"Mid Gen","New Gen"))</f>
        <v>New Gen</v>
      </c>
      <c r="E388">
        <v>10</v>
      </c>
      <c r="F388">
        <v>378</v>
      </c>
      <c r="G388">
        <f>yt_sports_channels_stats[[#This Row],[view_count]]/yt_sports_channels_stats[[#This Row],[video_count]]</f>
        <v>37.799999999999997</v>
      </c>
      <c r="H388" s="4">
        <f>yt_sports_channels_stats[[#This Row],[subscriber_count]]/yt_sports_channels_stats[[#This Row],[view_count]]</f>
        <v>2.6455026455026454E-3</v>
      </c>
      <c r="I388">
        <v>1</v>
      </c>
    </row>
    <row r="389" spans="1:9" x14ac:dyDescent="0.25">
      <c r="A389" t="s">
        <v>334</v>
      </c>
      <c r="B389" s="1">
        <v>42703</v>
      </c>
      <c r="C389">
        <f>YEAR(yt_sports_channels_stats[[#This Row],[Start Date]])</f>
        <v>2016</v>
      </c>
      <c r="D389" s="1" t="str">
        <f>IF(YEAR(yt_sports_channels_stats[[#This Row],[Start Date]])&lt;2011,"Old Gen",IF(AND(YEAR(yt_sports_channels_stats[[#This Row],[Start Date]]&gt;2011),YEAR(yt_sports_channels_stats[[#This Row],[Start Date]])&lt;2020),"Mid Gen","New Gen"))</f>
        <v>Mid Gen</v>
      </c>
      <c r="E389">
        <v>8</v>
      </c>
      <c r="F389">
        <v>537</v>
      </c>
      <c r="G389">
        <f>yt_sports_channels_stats[[#This Row],[view_count]]/yt_sports_channels_stats[[#This Row],[video_count]]</f>
        <v>67.125</v>
      </c>
      <c r="H389" s="4">
        <f>yt_sports_channels_stats[[#This Row],[subscriber_count]]/yt_sports_channels_stats[[#This Row],[view_count]]</f>
        <v>0.37243947858472998</v>
      </c>
      <c r="I389">
        <v>200</v>
      </c>
    </row>
    <row r="390" spans="1:9" x14ac:dyDescent="0.25">
      <c r="A390" t="s">
        <v>368</v>
      </c>
      <c r="B390" s="1">
        <v>44716</v>
      </c>
      <c r="C390">
        <f>YEAR(yt_sports_channels_stats[[#This Row],[Start Date]])</f>
        <v>2022</v>
      </c>
      <c r="D390" s="1" t="str">
        <f>IF(YEAR(yt_sports_channels_stats[[#This Row],[Start Date]])&lt;2011,"Old Gen",IF(AND(YEAR(yt_sports_channels_stats[[#This Row],[Start Date]]&gt;2011),YEAR(yt_sports_channels_stats[[#This Row],[Start Date]])&lt;2020),"Mid Gen","New Gen"))</f>
        <v>New Gen</v>
      </c>
      <c r="E390">
        <v>7</v>
      </c>
      <c r="F390">
        <v>3440</v>
      </c>
      <c r="G390">
        <f>yt_sports_channels_stats[[#This Row],[view_count]]/yt_sports_channels_stats[[#This Row],[video_count]]</f>
        <v>491.42857142857144</v>
      </c>
      <c r="H390" s="4">
        <f>yt_sports_channels_stats[[#This Row],[subscriber_count]]/yt_sports_channels_stats[[#This Row],[view_count]]</f>
        <v>7.5581395348837208E-3</v>
      </c>
      <c r="I390">
        <v>26</v>
      </c>
    </row>
    <row r="391" spans="1:9" x14ac:dyDescent="0.25">
      <c r="A391" t="s">
        <v>361</v>
      </c>
      <c r="B391" s="1">
        <v>44573</v>
      </c>
      <c r="C391">
        <f>YEAR(yt_sports_channels_stats[[#This Row],[Start Date]])</f>
        <v>2022</v>
      </c>
      <c r="D391" s="1" t="str">
        <f>IF(YEAR(yt_sports_channels_stats[[#This Row],[Start Date]])&lt;2011,"Old Gen",IF(AND(YEAR(yt_sports_channels_stats[[#This Row],[Start Date]]&gt;2011),YEAR(yt_sports_channels_stats[[#This Row],[Start Date]])&lt;2020),"Mid Gen","New Gen"))</f>
        <v>New Gen</v>
      </c>
      <c r="E391">
        <v>10</v>
      </c>
      <c r="F391">
        <v>2136</v>
      </c>
      <c r="G391">
        <f>yt_sports_channels_stats[[#This Row],[view_count]]/yt_sports_channels_stats[[#This Row],[video_count]]</f>
        <v>213.6</v>
      </c>
      <c r="H391" s="4">
        <f>yt_sports_channels_stats[[#This Row],[subscriber_count]]/yt_sports_channels_stats[[#This Row],[view_count]]</f>
        <v>2.3408239700374533E-3</v>
      </c>
      <c r="I391">
        <v>5</v>
      </c>
    </row>
    <row r="392" spans="1:9" x14ac:dyDescent="0.25">
      <c r="A392" t="s">
        <v>369</v>
      </c>
      <c r="B392" s="1">
        <v>45291</v>
      </c>
      <c r="C392">
        <f>YEAR(yt_sports_channels_stats[[#This Row],[Start Date]])</f>
        <v>2023</v>
      </c>
      <c r="D392" s="1" t="str">
        <f>IF(YEAR(yt_sports_channels_stats[[#This Row],[Start Date]])&lt;2011,"Old Gen",IF(AND(YEAR(yt_sports_channels_stats[[#This Row],[Start Date]]&gt;2011),YEAR(yt_sports_channels_stats[[#This Row],[Start Date]])&lt;2020),"Mid Gen","New Gen"))</f>
        <v>New Gen</v>
      </c>
      <c r="E392">
        <v>26</v>
      </c>
      <c r="F392">
        <v>213831</v>
      </c>
      <c r="G392">
        <f>yt_sports_channels_stats[[#This Row],[view_count]]/yt_sports_channels_stats[[#This Row],[video_count]]</f>
        <v>8224.2692307692305</v>
      </c>
      <c r="H392" s="4">
        <f>yt_sports_channels_stats[[#This Row],[subscriber_count]]/yt_sports_channels_stats[[#This Row],[view_count]]</f>
        <v>3.0584901160262078E-3</v>
      </c>
      <c r="I392">
        <v>654</v>
      </c>
    </row>
    <row r="393" spans="1:9" x14ac:dyDescent="0.25">
      <c r="A393" t="s">
        <v>370</v>
      </c>
      <c r="B393" s="1">
        <v>43630</v>
      </c>
      <c r="C393">
        <f>YEAR(yt_sports_channels_stats[[#This Row],[Start Date]])</f>
        <v>2019</v>
      </c>
      <c r="D393" s="1" t="str">
        <f>IF(YEAR(yt_sports_channels_stats[[#This Row],[Start Date]])&lt;2011,"Old Gen",IF(AND(YEAR(yt_sports_channels_stats[[#This Row],[Start Date]]&gt;2011),YEAR(yt_sports_channels_stats[[#This Row],[Start Date]])&lt;2020),"Mid Gen","New Gen"))</f>
        <v>Mid Gen</v>
      </c>
      <c r="E393">
        <v>22</v>
      </c>
      <c r="F393">
        <v>8127</v>
      </c>
      <c r="G393">
        <f>yt_sports_channels_stats[[#This Row],[view_count]]/yt_sports_channels_stats[[#This Row],[video_count]]</f>
        <v>369.40909090909093</v>
      </c>
      <c r="H393" s="4">
        <f>yt_sports_channels_stats[[#This Row],[subscriber_count]]/yt_sports_channels_stats[[#This Row],[view_count]]</f>
        <v>4.8357327427094872E-2</v>
      </c>
      <c r="I393">
        <v>393</v>
      </c>
    </row>
    <row r="394" spans="1:9" x14ac:dyDescent="0.25">
      <c r="A394" t="s">
        <v>371</v>
      </c>
      <c r="B394" s="1">
        <v>45334</v>
      </c>
      <c r="C394">
        <f>YEAR(yt_sports_channels_stats[[#This Row],[Start Date]])</f>
        <v>2024</v>
      </c>
      <c r="D394" s="1" t="str">
        <f>IF(YEAR(yt_sports_channels_stats[[#This Row],[Start Date]])&lt;2011,"Old Gen",IF(AND(YEAR(yt_sports_channels_stats[[#This Row],[Start Date]]&gt;2011),YEAR(yt_sports_channels_stats[[#This Row],[Start Date]])&lt;2020),"Mid Gen","New Gen"))</f>
        <v>New Gen</v>
      </c>
      <c r="E394">
        <v>8</v>
      </c>
      <c r="F394">
        <v>46</v>
      </c>
      <c r="G394">
        <f>yt_sports_channels_stats[[#This Row],[view_count]]/yt_sports_channels_stats[[#This Row],[video_count]]</f>
        <v>5.75</v>
      </c>
      <c r="H394" s="4">
        <f>yt_sports_channels_stats[[#This Row],[subscriber_count]]/yt_sports_channels_stats[[#This Row],[view_count]]</f>
        <v>0.15217391304347827</v>
      </c>
      <c r="I394">
        <v>7</v>
      </c>
    </row>
    <row r="395" spans="1:9" x14ac:dyDescent="0.25">
      <c r="A395" t="s">
        <v>489</v>
      </c>
      <c r="B395" s="1">
        <v>45203</v>
      </c>
      <c r="C395">
        <f>YEAR(yt_sports_channels_stats[[#This Row],[Start Date]])</f>
        <v>2023</v>
      </c>
      <c r="D395" s="1" t="str">
        <f>IF(YEAR(yt_sports_channels_stats[[#This Row],[Start Date]])&lt;2011,"Old Gen",IF(AND(YEAR(yt_sports_channels_stats[[#This Row],[Start Date]]&gt;2011),YEAR(yt_sports_channels_stats[[#This Row],[Start Date]])&lt;2020),"Mid Gen","New Gen"))</f>
        <v>New Gen</v>
      </c>
      <c r="E395">
        <v>19</v>
      </c>
      <c r="F395">
        <v>23511</v>
      </c>
      <c r="G395">
        <f>yt_sports_channels_stats[[#This Row],[view_count]]/yt_sports_channels_stats[[#This Row],[video_count]]</f>
        <v>1237.421052631579</v>
      </c>
      <c r="H395" s="4">
        <f>yt_sports_channels_stats[[#This Row],[subscriber_count]]/yt_sports_channels_stats[[#This Row],[view_count]]</f>
        <v>2.7221300667772531E-3</v>
      </c>
      <c r="I395">
        <v>64</v>
      </c>
    </row>
    <row r="396" spans="1:9" x14ac:dyDescent="0.25">
      <c r="A396" t="s">
        <v>362</v>
      </c>
      <c r="B396" s="1">
        <v>44929</v>
      </c>
      <c r="C396">
        <f>YEAR(yt_sports_channels_stats[[#This Row],[Start Date]])</f>
        <v>2023</v>
      </c>
      <c r="D396" s="1" t="str">
        <f>IF(YEAR(yt_sports_channels_stats[[#This Row],[Start Date]])&lt;2011,"Old Gen",IF(AND(YEAR(yt_sports_channels_stats[[#This Row],[Start Date]]&gt;2011),YEAR(yt_sports_channels_stats[[#This Row],[Start Date]])&lt;2020),"Mid Gen","New Gen"))</f>
        <v>New Gen</v>
      </c>
      <c r="E396">
        <v>14</v>
      </c>
      <c r="F396">
        <v>7013</v>
      </c>
      <c r="G396">
        <f>yt_sports_channels_stats[[#This Row],[view_count]]/yt_sports_channels_stats[[#This Row],[video_count]]</f>
        <v>500.92857142857144</v>
      </c>
      <c r="H396" s="4">
        <f>yt_sports_channels_stats[[#This Row],[subscriber_count]]/yt_sports_channels_stats[[#This Row],[view_count]]</f>
        <v>2.4240695850563242E-3</v>
      </c>
      <c r="I396">
        <v>17</v>
      </c>
    </row>
    <row r="397" spans="1:9" x14ac:dyDescent="0.25">
      <c r="A397" t="s">
        <v>363</v>
      </c>
      <c r="B397" s="1">
        <v>42501</v>
      </c>
      <c r="C397">
        <f>YEAR(yt_sports_channels_stats[[#This Row],[Start Date]])</f>
        <v>2016</v>
      </c>
      <c r="D397" s="1" t="str">
        <f>IF(YEAR(yt_sports_channels_stats[[#This Row],[Start Date]])&lt;2011,"Old Gen",IF(AND(YEAR(yt_sports_channels_stats[[#This Row],[Start Date]]&gt;2011),YEAR(yt_sports_channels_stats[[#This Row],[Start Date]])&lt;2020),"Mid Gen","New Gen"))</f>
        <v>Mid Gen</v>
      </c>
      <c r="E397">
        <v>11</v>
      </c>
      <c r="F397">
        <v>318</v>
      </c>
      <c r="G397">
        <f>yt_sports_channels_stats[[#This Row],[view_count]]/yt_sports_channels_stats[[#This Row],[video_count]]</f>
        <v>28.90909090909091</v>
      </c>
      <c r="H397" s="4">
        <f>yt_sports_channels_stats[[#This Row],[subscriber_count]]/yt_sports_channels_stats[[#This Row],[view_count]]</f>
        <v>9.433962264150943E-3</v>
      </c>
      <c r="I397">
        <v>3</v>
      </c>
    </row>
    <row r="398" spans="1:9" x14ac:dyDescent="0.25">
      <c r="A398" t="s">
        <v>372</v>
      </c>
      <c r="B398" s="1">
        <v>44148</v>
      </c>
      <c r="C398">
        <f>YEAR(yt_sports_channels_stats[[#This Row],[Start Date]])</f>
        <v>2020</v>
      </c>
      <c r="D398" s="1" t="str">
        <f>IF(YEAR(yt_sports_channels_stats[[#This Row],[Start Date]])&lt;2011,"Old Gen",IF(AND(YEAR(yt_sports_channels_stats[[#This Row],[Start Date]]&gt;2011),YEAR(yt_sports_channels_stats[[#This Row],[Start Date]])&lt;2020),"Mid Gen","New Gen"))</f>
        <v>New Gen</v>
      </c>
      <c r="E398">
        <v>2</v>
      </c>
      <c r="F398">
        <v>682</v>
      </c>
      <c r="G398">
        <f>yt_sports_channels_stats[[#This Row],[view_count]]/yt_sports_channels_stats[[#This Row],[video_count]]</f>
        <v>341</v>
      </c>
      <c r="H398" s="4">
        <f>yt_sports_channels_stats[[#This Row],[subscriber_count]]/yt_sports_channels_stats[[#This Row],[view_count]]</f>
        <v>8.7976539589442824E-3</v>
      </c>
      <c r="I398">
        <v>6</v>
      </c>
    </row>
    <row r="399" spans="1:9" x14ac:dyDescent="0.25">
      <c r="A399" t="s">
        <v>364</v>
      </c>
      <c r="B399" s="1">
        <v>41468</v>
      </c>
      <c r="C399">
        <f>YEAR(yt_sports_channels_stats[[#This Row],[Start Date]])</f>
        <v>2013</v>
      </c>
      <c r="D399" s="1" t="str">
        <f>IF(YEAR(yt_sports_channels_stats[[#This Row],[Start Date]])&lt;2011,"Old Gen",IF(AND(YEAR(yt_sports_channels_stats[[#This Row],[Start Date]]&gt;2011),YEAR(yt_sports_channels_stats[[#This Row],[Start Date]])&lt;2020),"Mid Gen","New Gen"))</f>
        <v>Mid Gen</v>
      </c>
      <c r="E399">
        <v>217</v>
      </c>
      <c r="F399">
        <v>253431</v>
      </c>
      <c r="G399">
        <f>yt_sports_channels_stats[[#This Row],[view_count]]/yt_sports_channels_stats[[#This Row],[video_count]]</f>
        <v>1167.8847926267281</v>
      </c>
      <c r="H399" s="4">
        <f>yt_sports_channels_stats[[#This Row],[subscriber_count]]/yt_sports_channels_stats[[#This Row],[view_count]]</f>
        <v>1.2074292410952094E-3</v>
      </c>
      <c r="I399">
        <v>306</v>
      </c>
    </row>
    <row r="400" spans="1:9" x14ac:dyDescent="0.25">
      <c r="A400" t="s">
        <v>365</v>
      </c>
      <c r="B400" s="1">
        <v>44027</v>
      </c>
      <c r="C400">
        <f>YEAR(yt_sports_channels_stats[[#This Row],[Start Date]])</f>
        <v>2020</v>
      </c>
      <c r="D400" s="1" t="str">
        <f>IF(YEAR(yt_sports_channels_stats[[#This Row],[Start Date]])&lt;2011,"Old Gen",IF(AND(YEAR(yt_sports_channels_stats[[#This Row],[Start Date]]&gt;2011),YEAR(yt_sports_channels_stats[[#This Row],[Start Date]])&lt;2020),"Mid Gen","New Gen"))</f>
        <v>New Gen</v>
      </c>
      <c r="E400">
        <v>4</v>
      </c>
      <c r="F400">
        <v>265</v>
      </c>
      <c r="G400">
        <f>yt_sports_channels_stats[[#This Row],[view_count]]/yt_sports_channels_stats[[#This Row],[video_count]]</f>
        <v>66.25</v>
      </c>
      <c r="H400" s="4">
        <f>yt_sports_channels_stats[[#This Row],[subscriber_count]]/yt_sports_channels_stats[[#This Row],[view_count]]</f>
        <v>7.5471698113207548E-3</v>
      </c>
      <c r="I400">
        <v>2</v>
      </c>
    </row>
    <row r="401" spans="1:9" x14ac:dyDescent="0.25">
      <c r="A401" t="s">
        <v>366</v>
      </c>
      <c r="B401" s="1">
        <v>43138</v>
      </c>
      <c r="C401">
        <f>YEAR(yt_sports_channels_stats[[#This Row],[Start Date]])</f>
        <v>2018</v>
      </c>
      <c r="D401" s="1" t="str">
        <f>IF(YEAR(yt_sports_channels_stats[[#This Row],[Start Date]])&lt;2011,"Old Gen",IF(AND(YEAR(yt_sports_channels_stats[[#This Row],[Start Date]]&gt;2011),YEAR(yt_sports_channels_stats[[#This Row],[Start Date]])&lt;2020),"Mid Gen","New Gen"))</f>
        <v>Mid Gen</v>
      </c>
      <c r="E401">
        <v>1</v>
      </c>
      <c r="F401">
        <v>16</v>
      </c>
      <c r="G401">
        <f>yt_sports_channels_stats[[#This Row],[view_count]]/yt_sports_channels_stats[[#This Row],[video_count]]</f>
        <v>16</v>
      </c>
      <c r="H401" s="4">
        <f>yt_sports_channels_stats[[#This Row],[subscriber_count]]/yt_sports_channels_stats[[#This Row],[view_count]]</f>
        <v>0</v>
      </c>
      <c r="I401">
        <v>0</v>
      </c>
    </row>
    <row r="402" spans="1:9" x14ac:dyDescent="0.25">
      <c r="A402" t="s">
        <v>367</v>
      </c>
      <c r="B402" s="1">
        <v>45358</v>
      </c>
      <c r="C402">
        <f>YEAR(yt_sports_channels_stats[[#This Row],[Start Date]])</f>
        <v>2024</v>
      </c>
      <c r="D402" s="1" t="str">
        <f>IF(YEAR(yt_sports_channels_stats[[#This Row],[Start Date]])&lt;2011,"Old Gen",IF(AND(YEAR(yt_sports_channels_stats[[#This Row],[Start Date]]&gt;2011),YEAR(yt_sports_channels_stats[[#This Row],[Start Date]])&lt;2020),"Mid Gen","New Gen"))</f>
        <v>New Gen</v>
      </c>
      <c r="E402">
        <v>10</v>
      </c>
      <c r="F402">
        <v>378</v>
      </c>
      <c r="G402">
        <f>yt_sports_channels_stats[[#This Row],[view_count]]/yt_sports_channels_stats[[#This Row],[video_count]]</f>
        <v>37.799999999999997</v>
      </c>
      <c r="H402" s="4">
        <f>yt_sports_channels_stats[[#This Row],[subscriber_count]]/yt_sports_channels_stats[[#This Row],[view_count]]</f>
        <v>2.6455026455026454E-3</v>
      </c>
      <c r="I402">
        <v>1</v>
      </c>
    </row>
    <row r="403" spans="1:9" x14ac:dyDescent="0.25">
      <c r="A403" t="s">
        <v>334</v>
      </c>
      <c r="B403" s="1">
        <v>42703</v>
      </c>
      <c r="C403">
        <f>YEAR(yt_sports_channels_stats[[#This Row],[Start Date]])</f>
        <v>2016</v>
      </c>
      <c r="D403" s="1" t="str">
        <f>IF(YEAR(yt_sports_channels_stats[[#This Row],[Start Date]])&lt;2011,"Old Gen",IF(AND(YEAR(yt_sports_channels_stats[[#This Row],[Start Date]]&gt;2011),YEAR(yt_sports_channels_stats[[#This Row],[Start Date]])&lt;2020),"Mid Gen","New Gen"))</f>
        <v>Mid Gen</v>
      </c>
      <c r="E403">
        <v>8</v>
      </c>
      <c r="F403">
        <v>537</v>
      </c>
      <c r="G403">
        <f>yt_sports_channels_stats[[#This Row],[view_count]]/yt_sports_channels_stats[[#This Row],[video_count]]</f>
        <v>67.125</v>
      </c>
      <c r="H403" s="4">
        <f>yt_sports_channels_stats[[#This Row],[subscriber_count]]/yt_sports_channels_stats[[#This Row],[view_count]]</f>
        <v>0.37243947858472998</v>
      </c>
      <c r="I403">
        <v>200</v>
      </c>
    </row>
    <row r="404" spans="1:9" x14ac:dyDescent="0.25">
      <c r="A404" t="s">
        <v>490</v>
      </c>
      <c r="B404" s="1">
        <v>41761</v>
      </c>
      <c r="C404">
        <f>YEAR(yt_sports_channels_stats[[#This Row],[Start Date]])</f>
        <v>2014</v>
      </c>
      <c r="D404" s="1" t="str">
        <f>IF(YEAR(yt_sports_channels_stats[[#This Row],[Start Date]])&lt;2011,"Old Gen",IF(AND(YEAR(yt_sports_channels_stats[[#This Row],[Start Date]]&gt;2011),YEAR(yt_sports_channels_stats[[#This Row],[Start Date]])&lt;2020),"Mid Gen","New Gen"))</f>
        <v>Mid Gen</v>
      </c>
      <c r="E404">
        <v>25</v>
      </c>
      <c r="F404">
        <v>115144</v>
      </c>
      <c r="G404">
        <f>yt_sports_channels_stats[[#This Row],[view_count]]/yt_sports_channels_stats[[#This Row],[video_count]]</f>
        <v>4605.76</v>
      </c>
      <c r="H404" s="4">
        <f>yt_sports_channels_stats[[#This Row],[subscriber_count]]/yt_sports_channels_stats[[#This Row],[view_count]]</f>
        <v>1.8064336830403668E-3</v>
      </c>
      <c r="I404">
        <v>208</v>
      </c>
    </row>
    <row r="405" spans="1:9" x14ac:dyDescent="0.25">
      <c r="A405" t="s">
        <v>373</v>
      </c>
      <c r="B405" s="1">
        <v>43713</v>
      </c>
      <c r="C405">
        <f>YEAR(yt_sports_channels_stats[[#This Row],[Start Date]])</f>
        <v>2019</v>
      </c>
      <c r="D405" s="1" t="str">
        <f>IF(YEAR(yt_sports_channels_stats[[#This Row],[Start Date]])&lt;2011,"Old Gen",IF(AND(YEAR(yt_sports_channels_stats[[#This Row],[Start Date]]&gt;2011),YEAR(yt_sports_channels_stats[[#This Row],[Start Date]])&lt;2020),"Mid Gen","New Gen"))</f>
        <v>Mid Gen</v>
      </c>
      <c r="E405">
        <v>13</v>
      </c>
      <c r="F405">
        <v>7238</v>
      </c>
      <c r="G405">
        <f>yt_sports_channels_stats[[#This Row],[view_count]]/yt_sports_channels_stats[[#This Row],[video_count]]</f>
        <v>556.76923076923072</v>
      </c>
      <c r="H405" s="4">
        <f>yt_sports_channels_stats[[#This Row],[subscriber_count]]/yt_sports_channels_stats[[#This Row],[view_count]]</f>
        <v>1.2434374136501797E-3</v>
      </c>
      <c r="I405">
        <v>9</v>
      </c>
    </row>
    <row r="406" spans="1:9" x14ac:dyDescent="0.25">
      <c r="A406" t="s">
        <v>374</v>
      </c>
      <c r="B406" s="1">
        <v>45073</v>
      </c>
      <c r="C406">
        <f>YEAR(yt_sports_channels_stats[[#This Row],[Start Date]])</f>
        <v>2023</v>
      </c>
      <c r="D406" s="1" t="str">
        <f>IF(YEAR(yt_sports_channels_stats[[#This Row],[Start Date]])&lt;2011,"Old Gen",IF(AND(YEAR(yt_sports_channels_stats[[#This Row],[Start Date]]&gt;2011),YEAR(yt_sports_channels_stats[[#This Row],[Start Date]])&lt;2020),"Mid Gen","New Gen"))</f>
        <v>New Gen</v>
      </c>
      <c r="E406">
        <v>4</v>
      </c>
      <c r="F406">
        <v>880</v>
      </c>
      <c r="G406">
        <f>yt_sports_channels_stats[[#This Row],[view_count]]/yt_sports_channels_stats[[#This Row],[video_count]]</f>
        <v>220</v>
      </c>
      <c r="H406" s="4">
        <f>yt_sports_channels_stats[[#This Row],[subscriber_count]]/yt_sports_channels_stats[[#This Row],[view_count]]</f>
        <v>1.4772727272727272E-2</v>
      </c>
      <c r="I406">
        <v>13</v>
      </c>
    </row>
    <row r="407" spans="1:9" x14ac:dyDescent="0.25">
      <c r="A407" t="s">
        <v>335</v>
      </c>
      <c r="B407" s="1">
        <v>43440</v>
      </c>
      <c r="C407">
        <f>YEAR(yt_sports_channels_stats[[#This Row],[Start Date]])</f>
        <v>2018</v>
      </c>
      <c r="D407" s="1" t="str">
        <f>IF(YEAR(yt_sports_channels_stats[[#This Row],[Start Date]])&lt;2011,"Old Gen",IF(AND(YEAR(yt_sports_channels_stats[[#This Row],[Start Date]]&gt;2011),YEAR(yt_sports_channels_stats[[#This Row],[Start Date]])&lt;2020),"Mid Gen","New Gen"))</f>
        <v>Mid Gen</v>
      </c>
      <c r="E407">
        <v>12</v>
      </c>
      <c r="F407">
        <v>165</v>
      </c>
      <c r="G407">
        <f>yt_sports_channels_stats[[#This Row],[view_count]]/yt_sports_channels_stats[[#This Row],[video_count]]</f>
        <v>13.75</v>
      </c>
      <c r="H407" s="4">
        <f>yt_sports_channels_stats[[#This Row],[subscriber_count]]/yt_sports_channels_stats[[#This Row],[view_count]]</f>
        <v>2.4242424242424242E-2</v>
      </c>
      <c r="I407">
        <v>4</v>
      </c>
    </row>
    <row r="408" spans="1:9" x14ac:dyDescent="0.25">
      <c r="A408" t="s">
        <v>375</v>
      </c>
      <c r="B408" s="1">
        <v>42265</v>
      </c>
      <c r="C408">
        <f>YEAR(yt_sports_channels_stats[[#This Row],[Start Date]])</f>
        <v>2015</v>
      </c>
      <c r="D408" s="1" t="str">
        <f>IF(YEAR(yt_sports_channels_stats[[#This Row],[Start Date]])&lt;2011,"Old Gen",IF(AND(YEAR(yt_sports_channels_stats[[#This Row],[Start Date]]&gt;2011),YEAR(yt_sports_channels_stats[[#This Row],[Start Date]])&lt;2020),"Mid Gen","New Gen"))</f>
        <v>Mid Gen</v>
      </c>
      <c r="E408">
        <v>6</v>
      </c>
      <c r="F408">
        <v>534</v>
      </c>
      <c r="G408">
        <f>yt_sports_channels_stats[[#This Row],[view_count]]/yt_sports_channels_stats[[#This Row],[video_count]]</f>
        <v>89</v>
      </c>
      <c r="H408" s="4">
        <f>yt_sports_channels_stats[[#This Row],[subscriber_count]]/yt_sports_channels_stats[[#This Row],[view_count]]</f>
        <v>1.1235955056179775E-2</v>
      </c>
      <c r="I408">
        <v>6</v>
      </c>
    </row>
    <row r="409" spans="1:9" x14ac:dyDescent="0.25">
      <c r="A409" t="s">
        <v>376</v>
      </c>
      <c r="B409" s="1">
        <v>45308</v>
      </c>
      <c r="C409">
        <f>YEAR(yt_sports_channels_stats[[#This Row],[Start Date]])</f>
        <v>2024</v>
      </c>
      <c r="D409" s="1" t="str">
        <f>IF(YEAR(yt_sports_channels_stats[[#This Row],[Start Date]])&lt;2011,"Old Gen",IF(AND(YEAR(yt_sports_channels_stats[[#This Row],[Start Date]]&gt;2011),YEAR(yt_sports_channels_stats[[#This Row],[Start Date]])&lt;2020),"Mid Gen","New Gen"))</f>
        <v>New Gen</v>
      </c>
      <c r="E409">
        <v>3</v>
      </c>
      <c r="F409">
        <v>138</v>
      </c>
      <c r="G409">
        <f>yt_sports_channels_stats[[#This Row],[view_count]]/yt_sports_channels_stats[[#This Row],[video_count]]</f>
        <v>46</v>
      </c>
      <c r="H409" s="4">
        <f>yt_sports_channels_stats[[#This Row],[subscriber_count]]/yt_sports_channels_stats[[#This Row],[view_count]]</f>
        <v>3.6231884057971016E-2</v>
      </c>
      <c r="I409">
        <v>5</v>
      </c>
    </row>
    <row r="410" spans="1:9" x14ac:dyDescent="0.25">
      <c r="A410" t="s">
        <v>491</v>
      </c>
      <c r="B410" s="1">
        <v>45343</v>
      </c>
      <c r="C410">
        <f>YEAR(yt_sports_channels_stats[[#This Row],[Start Date]])</f>
        <v>2024</v>
      </c>
      <c r="D410" s="1" t="str">
        <f>IF(YEAR(yt_sports_channels_stats[[#This Row],[Start Date]])&lt;2011,"Old Gen",IF(AND(YEAR(yt_sports_channels_stats[[#This Row],[Start Date]]&gt;2011),YEAR(yt_sports_channels_stats[[#This Row],[Start Date]])&lt;2020),"Mid Gen","New Gen"))</f>
        <v>New Gen</v>
      </c>
      <c r="E410">
        <v>8</v>
      </c>
      <c r="F410">
        <v>18286</v>
      </c>
      <c r="G410">
        <f>yt_sports_channels_stats[[#This Row],[view_count]]/yt_sports_channels_stats[[#This Row],[video_count]]</f>
        <v>2285.75</v>
      </c>
      <c r="H410" s="4">
        <f>yt_sports_channels_stats[[#This Row],[subscriber_count]]/yt_sports_channels_stats[[#This Row],[view_count]]</f>
        <v>3.9921251230449527E-3</v>
      </c>
      <c r="I410">
        <v>73</v>
      </c>
    </row>
    <row r="411" spans="1:9" x14ac:dyDescent="0.25">
      <c r="A411" t="s">
        <v>377</v>
      </c>
      <c r="B411" s="1">
        <v>44754</v>
      </c>
      <c r="C411">
        <f>YEAR(yt_sports_channels_stats[[#This Row],[Start Date]])</f>
        <v>2022</v>
      </c>
      <c r="D411" s="1" t="str">
        <f>IF(YEAR(yt_sports_channels_stats[[#This Row],[Start Date]])&lt;2011,"Old Gen",IF(AND(YEAR(yt_sports_channels_stats[[#This Row],[Start Date]]&gt;2011),YEAR(yt_sports_channels_stats[[#This Row],[Start Date]])&lt;2020),"Mid Gen","New Gen"))</f>
        <v>New Gen</v>
      </c>
      <c r="E411">
        <v>27</v>
      </c>
      <c r="F411">
        <v>4473</v>
      </c>
      <c r="G411">
        <f>yt_sports_channels_stats[[#This Row],[view_count]]/yt_sports_channels_stats[[#This Row],[video_count]]</f>
        <v>165.66666666666666</v>
      </c>
      <c r="H411" s="4">
        <f>yt_sports_channels_stats[[#This Row],[subscriber_count]]/yt_sports_channels_stats[[#This Row],[view_count]]</f>
        <v>2.526268723451822E-2</v>
      </c>
      <c r="I411">
        <v>113</v>
      </c>
    </row>
    <row r="412" spans="1:9" x14ac:dyDescent="0.25">
      <c r="A412" t="s">
        <v>378</v>
      </c>
      <c r="B412" s="1">
        <v>45141</v>
      </c>
      <c r="C412">
        <f>YEAR(yt_sports_channels_stats[[#This Row],[Start Date]])</f>
        <v>2023</v>
      </c>
      <c r="D412" s="1" t="str">
        <f>IF(YEAR(yt_sports_channels_stats[[#This Row],[Start Date]])&lt;2011,"Old Gen",IF(AND(YEAR(yt_sports_channels_stats[[#This Row],[Start Date]]&gt;2011),YEAR(yt_sports_channels_stats[[#This Row],[Start Date]])&lt;2020),"Mid Gen","New Gen"))</f>
        <v>New Gen</v>
      </c>
      <c r="E412">
        <v>7</v>
      </c>
      <c r="F412">
        <v>296</v>
      </c>
      <c r="G412">
        <f>yt_sports_channels_stats[[#This Row],[view_count]]/yt_sports_channels_stats[[#This Row],[video_count]]</f>
        <v>42.285714285714285</v>
      </c>
      <c r="H412" s="4">
        <f>yt_sports_channels_stats[[#This Row],[subscriber_count]]/yt_sports_channels_stats[[#This Row],[view_count]]</f>
        <v>2.0270270270270271E-2</v>
      </c>
      <c r="I412">
        <v>6</v>
      </c>
    </row>
    <row r="413" spans="1:9" x14ac:dyDescent="0.25">
      <c r="A413" t="s">
        <v>379</v>
      </c>
      <c r="B413" s="1">
        <v>44688</v>
      </c>
      <c r="C413">
        <f>YEAR(yt_sports_channels_stats[[#This Row],[Start Date]])</f>
        <v>2022</v>
      </c>
      <c r="D413" s="1" t="str">
        <f>IF(YEAR(yt_sports_channels_stats[[#This Row],[Start Date]])&lt;2011,"Old Gen",IF(AND(YEAR(yt_sports_channels_stats[[#This Row],[Start Date]]&gt;2011),YEAR(yt_sports_channels_stats[[#This Row],[Start Date]])&lt;2020),"Mid Gen","New Gen"))</f>
        <v>New Gen</v>
      </c>
      <c r="E413">
        <v>23</v>
      </c>
      <c r="F413">
        <v>1726</v>
      </c>
      <c r="G413">
        <f>yt_sports_channels_stats[[#This Row],[view_count]]/yt_sports_channels_stats[[#This Row],[video_count]]</f>
        <v>75.043478260869563</v>
      </c>
      <c r="H413" s="4">
        <f>yt_sports_channels_stats[[#This Row],[subscriber_count]]/yt_sports_channels_stats[[#This Row],[view_count]]</f>
        <v>4.6349942062572421E-3</v>
      </c>
      <c r="I413">
        <v>8</v>
      </c>
    </row>
    <row r="414" spans="1:9" x14ac:dyDescent="0.25">
      <c r="A414" t="s">
        <v>380</v>
      </c>
      <c r="B414" s="1">
        <v>41607</v>
      </c>
      <c r="C414">
        <f>YEAR(yt_sports_channels_stats[[#This Row],[Start Date]])</f>
        <v>2013</v>
      </c>
      <c r="D414" s="1" t="str">
        <f>IF(YEAR(yt_sports_channels_stats[[#This Row],[Start Date]])&lt;2011,"Old Gen",IF(AND(YEAR(yt_sports_channels_stats[[#This Row],[Start Date]]&gt;2011),YEAR(yt_sports_channels_stats[[#This Row],[Start Date]])&lt;2020),"Mid Gen","New Gen"))</f>
        <v>Mid Gen</v>
      </c>
      <c r="E414">
        <v>49</v>
      </c>
      <c r="F414">
        <v>24217</v>
      </c>
      <c r="G414">
        <f>yt_sports_channels_stats[[#This Row],[view_count]]/yt_sports_channels_stats[[#This Row],[video_count]]</f>
        <v>494.22448979591837</v>
      </c>
      <c r="H414" s="4">
        <f>yt_sports_channels_stats[[#This Row],[subscriber_count]]/yt_sports_channels_stats[[#This Row],[view_count]]</f>
        <v>6.1114093405458978E-3</v>
      </c>
      <c r="I414">
        <v>148</v>
      </c>
    </row>
    <row r="415" spans="1:9" x14ac:dyDescent="0.25">
      <c r="A415" t="s">
        <v>381</v>
      </c>
      <c r="B415" s="1">
        <v>42912</v>
      </c>
      <c r="C415">
        <f>YEAR(yt_sports_channels_stats[[#This Row],[Start Date]])</f>
        <v>2017</v>
      </c>
      <c r="D415" s="1" t="str">
        <f>IF(YEAR(yt_sports_channels_stats[[#This Row],[Start Date]])&lt;2011,"Old Gen",IF(AND(YEAR(yt_sports_channels_stats[[#This Row],[Start Date]]&gt;2011),YEAR(yt_sports_channels_stats[[#This Row],[Start Date]])&lt;2020),"Mid Gen","New Gen"))</f>
        <v>Mid Gen</v>
      </c>
      <c r="E415">
        <v>2</v>
      </c>
      <c r="F415">
        <v>57</v>
      </c>
      <c r="G415">
        <f>yt_sports_channels_stats[[#This Row],[view_count]]/yt_sports_channels_stats[[#This Row],[video_count]]</f>
        <v>28.5</v>
      </c>
      <c r="H415" s="4">
        <f>yt_sports_channels_stats[[#This Row],[subscriber_count]]/yt_sports_channels_stats[[#This Row],[view_count]]</f>
        <v>1.7543859649122806E-2</v>
      </c>
      <c r="I415">
        <v>1</v>
      </c>
    </row>
    <row r="416" spans="1:9" x14ac:dyDescent="0.25">
      <c r="A416" t="s">
        <v>334</v>
      </c>
      <c r="B416" s="1">
        <v>43040</v>
      </c>
      <c r="C416">
        <f>YEAR(yt_sports_channels_stats[[#This Row],[Start Date]])</f>
        <v>2017</v>
      </c>
      <c r="D416" s="1" t="str">
        <f>IF(YEAR(yt_sports_channels_stats[[#This Row],[Start Date]])&lt;2011,"Old Gen",IF(AND(YEAR(yt_sports_channels_stats[[#This Row],[Start Date]]&gt;2011),YEAR(yt_sports_channels_stats[[#This Row],[Start Date]])&lt;2020),"Mid Gen","New Gen"))</f>
        <v>Mid Gen</v>
      </c>
      <c r="E416">
        <v>36</v>
      </c>
      <c r="F416">
        <v>7000</v>
      </c>
      <c r="G416">
        <f>yt_sports_channels_stats[[#This Row],[view_count]]/yt_sports_channels_stats[[#This Row],[video_count]]</f>
        <v>194.44444444444446</v>
      </c>
      <c r="H416" s="4">
        <f>yt_sports_channels_stats[[#This Row],[subscriber_count]]/yt_sports_channels_stats[[#This Row],[view_count]]</f>
        <v>6.4285714285714285E-3</v>
      </c>
      <c r="I416">
        <v>45</v>
      </c>
    </row>
    <row r="417" spans="1:9" x14ac:dyDescent="0.25">
      <c r="A417" t="s">
        <v>382</v>
      </c>
      <c r="B417" s="1">
        <v>44288</v>
      </c>
      <c r="C417">
        <f>YEAR(yt_sports_channels_stats[[#This Row],[Start Date]])</f>
        <v>2021</v>
      </c>
      <c r="D417" s="1" t="str">
        <f>IF(YEAR(yt_sports_channels_stats[[#This Row],[Start Date]])&lt;2011,"Old Gen",IF(AND(YEAR(yt_sports_channels_stats[[#This Row],[Start Date]]&gt;2011),YEAR(yt_sports_channels_stats[[#This Row],[Start Date]])&lt;2020),"Mid Gen","New Gen"))</f>
        <v>New Gen</v>
      </c>
      <c r="E417">
        <v>43</v>
      </c>
      <c r="F417">
        <v>21700</v>
      </c>
      <c r="G417">
        <f>yt_sports_channels_stats[[#This Row],[view_count]]/yt_sports_channels_stats[[#This Row],[video_count]]</f>
        <v>504.6511627906977</v>
      </c>
      <c r="H417" s="4">
        <f>yt_sports_channels_stats[[#This Row],[subscriber_count]]/yt_sports_channels_stats[[#This Row],[view_count]]</f>
        <v>2.8571428571428571E-3</v>
      </c>
      <c r="I417">
        <v>62</v>
      </c>
    </row>
    <row r="418" spans="1:9" x14ac:dyDescent="0.25">
      <c r="A418" t="s">
        <v>383</v>
      </c>
      <c r="B418" s="1">
        <v>42556</v>
      </c>
      <c r="C418">
        <f>YEAR(yt_sports_channels_stats[[#This Row],[Start Date]])</f>
        <v>2016</v>
      </c>
      <c r="D418" s="1" t="str">
        <f>IF(YEAR(yt_sports_channels_stats[[#This Row],[Start Date]])&lt;2011,"Old Gen",IF(AND(YEAR(yt_sports_channels_stats[[#This Row],[Start Date]]&gt;2011),YEAR(yt_sports_channels_stats[[#This Row],[Start Date]])&lt;2020),"Mid Gen","New Gen"))</f>
        <v>Mid Gen</v>
      </c>
      <c r="E418">
        <v>11</v>
      </c>
      <c r="F418">
        <v>805</v>
      </c>
      <c r="G418">
        <f>yt_sports_channels_stats[[#This Row],[view_count]]/yt_sports_channels_stats[[#This Row],[video_count]]</f>
        <v>73.181818181818187</v>
      </c>
      <c r="H418" s="4">
        <f>yt_sports_channels_stats[[#This Row],[subscriber_count]]/yt_sports_channels_stats[[#This Row],[view_count]]</f>
        <v>4.5962732919254658E-2</v>
      </c>
      <c r="I418">
        <v>37</v>
      </c>
    </row>
    <row r="419" spans="1:9" x14ac:dyDescent="0.25">
      <c r="A419" t="s">
        <v>384</v>
      </c>
      <c r="B419" s="1">
        <v>45224</v>
      </c>
      <c r="C419">
        <f>YEAR(yt_sports_channels_stats[[#This Row],[Start Date]])</f>
        <v>2023</v>
      </c>
      <c r="D419" s="1" t="str">
        <f>IF(YEAR(yt_sports_channels_stats[[#This Row],[Start Date]])&lt;2011,"Old Gen",IF(AND(YEAR(yt_sports_channels_stats[[#This Row],[Start Date]]&gt;2011),YEAR(yt_sports_channels_stats[[#This Row],[Start Date]])&lt;2020),"Mid Gen","New Gen"))</f>
        <v>New Gen</v>
      </c>
      <c r="E419">
        <v>3</v>
      </c>
      <c r="F419">
        <v>318</v>
      </c>
      <c r="G419">
        <f>yt_sports_channels_stats[[#This Row],[view_count]]/yt_sports_channels_stats[[#This Row],[video_count]]</f>
        <v>106</v>
      </c>
      <c r="H419" s="4">
        <f>yt_sports_channels_stats[[#This Row],[subscriber_count]]/yt_sports_channels_stats[[#This Row],[view_count]]</f>
        <v>3.1446540880503145E-2</v>
      </c>
      <c r="I419">
        <v>10</v>
      </c>
    </row>
    <row r="420" spans="1:9" x14ac:dyDescent="0.25">
      <c r="A420" t="s">
        <v>385</v>
      </c>
      <c r="B420" s="1">
        <v>45231</v>
      </c>
      <c r="C420">
        <f>YEAR(yt_sports_channels_stats[[#This Row],[Start Date]])</f>
        <v>2023</v>
      </c>
      <c r="D420" s="1" t="str">
        <f>IF(YEAR(yt_sports_channels_stats[[#This Row],[Start Date]])&lt;2011,"Old Gen",IF(AND(YEAR(yt_sports_channels_stats[[#This Row],[Start Date]]&gt;2011),YEAR(yt_sports_channels_stats[[#This Row],[Start Date]])&lt;2020),"Mid Gen","New Gen"))</f>
        <v>New Gen</v>
      </c>
      <c r="E420">
        <v>1</v>
      </c>
      <c r="F420">
        <v>3</v>
      </c>
      <c r="G420">
        <f>yt_sports_channels_stats[[#This Row],[view_count]]/yt_sports_channels_stats[[#This Row],[video_count]]</f>
        <v>3</v>
      </c>
      <c r="H420" s="4">
        <f>yt_sports_channels_stats[[#This Row],[subscriber_count]]/yt_sports_channels_stats[[#This Row],[view_count]]</f>
        <v>0</v>
      </c>
      <c r="I420">
        <v>0</v>
      </c>
    </row>
    <row r="421" spans="1:9" x14ac:dyDescent="0.25">
      <c r="A421" t="s">
        <v>386</v>
      </c>
      <c r="B421" s="1">
        <v>43422</v>
      </c>
      <c r="C421">
        <f>YEAR(yt_sports_channels_stats[[#This Row],[Start Date]])</f>
        <v>2018</v>
      </c>
      <c r="D421" s="1" t="str">
        <f>IF(YEAR(yt_sports_channels_stats[[#This Row],[Start Date]])&lt;2011,"Old Gen",IF(AND(YEAR(yt_sports_channels_stats[[#This Row],[Start Date]]&gt;2011),YEAR(yt_sports_channels_stats[[#This Row],[Start Date]])&lt;2020),"Mid Gen","New Gen"))</f>
        <v>Mid Gen</v>
      </c>
      <c r="E421">
        <v>9</v>
      </c>
      <c r="F421">
        <v>64174</v>
      </c>
      <c r="G421">
        <f>yt_sports_channels_stats[[#This Row],[view_count]]/yt_sports_channels_stats[[#This Row],[video_count]]</f>
        <v>7130.4444444444443</v>
      </c>
      <c r="H421" s="4">
        <f>yt_sports_channels_stats[[#This Row],[subscriber_count]]/yt_sports_channels_stats[[#This Row],[view_count]]</f>
        <v>5.2513478979025778E-3</v>
      </c>
      <c r="I421">
        <v>337</v>
      </c>
    </row>
    <row r="422" spans="1:9" x14ac:dyDescent="0.25">
      <c r="A422" t="s">
        <v>492</v>
      </c>
      <c r="B422" s="1">
        <v>45225</v>
      </c>
      <c r="C422">
        <f>YEAR(yt_sports_channels_stats[[#This Row],[Start Date]])</f>
        <v>2023</v>
      </c>
      <c r="D422" s="1" t="str">
        <f>IF(YEAR(yt_sports_channels_stats[[#This Row],[Start Date]])&lt;2011,"Old Gen",IF(AND(YEAR(yt_sports_channels_stats[[#This Row],[Start Date]]&gt;2011),YEAR(yt_sports_channels_stats[[#This Row],[Start Date]])&lt;2020),"Mid Gen","New Gen"))</f>
        <v>New Gen</v>
      </c>
      <c r="E422">
        <v>2</v>
      </c>
      <c r="F422">
        <v>1</v>
      </c>
      <c r="G422">
        <f>yt_sports_channels_stats[[#This Row],[view_count]]/yt_sports_channels_stats[[#This Row],[video_count]]</f>
        <v>0.5</v>
      </c>
      <c r="H422" s="4">
        <f>yt_sports_channels_stats[[#This Row],[subscriber_count]]/yt_sports_channels_stats[[#This Row],[view_count]]</f>
        <v>0</v>
      </c>
      <c r="I422">
        <v>0</v>
      </c>
    </row>
    <row r="423" spans="1:9" x14ac:dyDescent="0.25">
      <c r="A423" t="s">
        <v>387</v>
      </c>
      <c r="B423" s="1">
        <v>44474</v>
      </c>
      <c r="C423">
        <f>YEAR(yt_sports_channels_stats[[#This Row],[Start Date]])</f>
        <v>2021</v>
      </c>
      <c r="D423" s="1" t="str">
        <f>IF(YEAR(yt_sports_channels_stats[[#This Row],[Start Date]])&lt;2011,"Old Gen",IF(AND(YEAR(yt_sports_channels_stats[[#This Row],[Start Date]]&gt;2011),YEAR(yt_sports_channels_stats[[#This Row],[Start Date]])&lt;2020),"Mid Gen","New Gen"))</f>
        <v>New Gen</v>
      </c>
      <c r="E423">
        <v>4</v>
      </c>
      <c r="F423">
        <v>199</v>
      </c>
      <c r="G423">
        <f>yt_sports_channels_stats[[#This Row],[view_count]]/yt_sports_channels_stats[[#This Row],[video_count]]</f>
        <v>49.75</v>
      </c>
      <c r="H423" s="4">
        <f>yt_sports_channels_stats[[#This Row],[subscriber_count]]/yt_sports_channels_stats[[#This Row],[view_count]]</f>
        <v>2.5075376884422109</v>
      </c>
      <c r="I423">
        <v>499</v>
      </c>
    </row>
    <row r="424" spans="1:9" x14ac:dyDescent="0.25">
      <c r="A424" t="s">
        <v>318</v>
      </c>
      <c r="B424" s="1">
        <v>45238</v>
      </c>
      <c r="C424">
        <f>YEAR(yt_sports_channels_stats[[#This Row],[Start Date]])</f>
        <v>2023</v>
      </c>
      <c r="D424" s="1" t="str">
        <f>IF(YEAR(yt_sports_channels_stats[[#This Row],[Start Date]])&lt;2011,"Old Gen",IF(AND(YEAR(yt_sports_channels_stats[[#This Row],[Start Date]]&gt;2011),YEAR(yt_sports_channels_stats[[#This Row],[Start Date]])&lt;2020),"Mid Gen","New Gen"))</f>
        <v>New Gen</v>
      </c>
      <c r="E424">
        <v>15</v>
      </c>
      <c r="F424">
        <v>25</v>
      </c>
      <c r="G424">
        <f>yt_sports_channels_stats[[#This Row],[view_count]]/yt_sports_channels_stats[[#This Row],[video_count]]</f>
        <v>1.6666666666666667</v>
      </c>
      <c r="H424" s="4">
        <f>yt_sports_channels_stats[[#This Row],[subscriber_count]]/yt_sports_channels_stats[[#This Row],[view_count]]</f>
        <v>0.04</v>
      </c>
      <c r="I424">
        <v>1</v>
      </c>
    </row>
    <row r="425" spans="1:9" x14ac:dyDescent="0.25">
      <c r="A425" t="s">
        <v>388</v>
      </c>
      <c r="B425" s="1">
        <v>44645</v>
      </c>
      <c r="C425">
        <f>YEAR(yt_sports_channels_stats[[#This Row],[Start Date]])</f>
        <v>2022</v>
      </c>
      <c r="D425" s="1" t="str">
        <f>IF(YEAR(yt_sports_channels_stats[[#This Row],[Start Date]])&lt;2011,"Old Gen",IF(AND(YEAR(yt_sports_channels_stats[[#This Row],[Start Date]]&gt;2011),YEAR(yt_sports_channels_stats[[#This Row],[Start Date]])&lt;2020),"Mid Gen","New Gen"))</f>
        <v>New Gen</v>
      </c>
      <c r="E425">
        <v>1</v>
      </c>
      <c r="F425">
        <v>315</v>
      </c>
      <c r="G425">
        <f>yt_sports_channels_stats[[#This Row],[view_count]]/yt_sports_channels_stats[[#This Row],[video_count]]</f>
        <v>315</v>
      </c>
      <c r="H425" s="4">
        <f>yt_sports_channels_stats[[#This Row],[subscriber_count]]/yt_sports_channels_stats[[#This Row],[view_count]]</f>
        <v>0</v>
      </c>
      <c r="I425">
        <v>0</v>
      </c>
    </row>
    <row r="426" spans="1:9" x14ac:dyDescent="0.25">
      <c r="A426" t="s">
        <v>389</v>
      </c>
      <c r="B426" s="1">
        <v>45267</v>
      </c>
      <c r="C426">
        <f>YEAR(yt_sports_channels_stats[[#This Row],[Start Date]])</f>
        <v>2023</v>
      </c>
      <c r="D426" s="1" t="str">
        <f>IF(YEAR(yt_sports_channels_stats[[#This Row],[Start Date]])&lt;2011,"Old Gen",IF(AND(YEAR(yt_sports_channels_stats[[#This Row],[Start Date]]&gt;2011),YEAR(yt_sports_channels_stats[[#This Row],[Start Date]])&lt;2020),"Mid Gen","New Gen"))</f>
        <v>New Gen</v>
      </c>
      <c r="E426">
        <v>5</v>
      </c>
      <c r="F426">
        <v>36</v>
      </c>
      <c r="G426">
        <f>yt_sports_channels_stats[[#This Row],[view_count]]/yt_sports_channels_stats[[#This Row],[video_count]]</f>
        <v>7.2</v>
      </c>
      <c r="H426" s="4">
        <f>yt_sports_channels_stats[[#This Row],[subscriber_count]]/yt_sports_channels_stats[[#This Row],[view_count]]</f>
        <v>0.1111111111111111</v>
      </c>
      <c r="I426">
        <v>4</v>
      </c>
    </row>
    <row r="427" spans="1:9" x14ac:dyDescent="0.25">
      <c r="A427" t="s">
        <v>390</v>
      </c>
      <c r="B427" s="1">
        <v>41709</v>
      </c>
      <c r="C427">
        <f>YEAR(yt_sports_channels_stats[[#This Row],[Start Date]])</f>
        <v>2014</v>
      </c>
      <c r="D427" s="1" t="str">
        <f>IF(YEAR(yt_sports_channels_stats[[#This Row],[Start Date]])&lt;2011,"Old Gen",IF(AND(YEAR(yt_sports_channels_stats[[#This Row],[Start Date]]&gt;2011),YEAR(yt_sports_channels_stats[[#This Row],[Start Date]])&lt;2020),"Mid Gen","New Gen"))</f>
        <v>Mid Gen</v>
      </c>
      <c r="E427">
        <v>18</v>
      </c>
      <c r="F427">
        <v>59324</v>
      </c>
      <c r="G427">
        <f>yt_sports_channels_stats[[#This Row],[view_count]]/yt_sports_channels_stats[[#This Row],[video_count]]</f>
        <v>3295.7777777777778</v>
      </c>
      <c r="H427" s="4">
        <f>yt_sports_channels_stats[[#This Row],[subscriber_count]]/yt_sports_channels_stats[[#This Row],[view_count]]</f>
        <v>5.2423976805340165E-3</v>
      </c>
      <c r="I427">
        <v>311</v>
      </c>
    </row>
    <row r="428" spans="1:9" x14ac:dyDescent="0.25">
      <c r="A428" t="s">
        <v>391</v>
      </c>
      <c r="B428" s="1">
        <v>44941</v>
      </c>
      <c r="C428">
        <f>YEAR(yt_sports_channels_stats[[#This Row],[Start Date]])</f>
        <v>2023</v>
      </c>
      <c r="D428" s="1" t="str">
        <f>IF(YEAR(yt_sports_channels_stats[[#This Row],[Start Date]])&lt;2011,"Old Gen",IF(AND(YEAR(yt_sports_channels_stats[[#This Row],[Start Date]]&gt;2011),YEAR(yt_sports_channels_stats[[#This Row],[Start Date]])&lt;2020),"Mid Gen","New Gen"))</f>
        <v>New Gen</v>
      </c>
      <c r="E428">
        <v>2</v>
      </c>
      <c r="F428">
        <v>48</v>
      </c>
      <c r="G428">
        <f>yt_sports_channels_stats[[#This Row],[view_count]]/yt_sports_channels_stats[[#This Row],[video_count]]</f>
        <v>24</v>
      </c>
      <c r="H428" s="4">
        <f>yt_sports_channels_stats[[#This Row],[subscriber_count]]/yt_sports_channels_stats[[#This Row],[view_count]]</f>
        <v>0</v>
      </c>
      <c r="I428">
        <v>0</v>
      </c>
    </row>
    <row r="429" spans="1:9" x14ac:dyDescent="0.25">
      <c r="A429" t="s">
        <v>392</v>
      </c>
      <c r="B429" s="1">
        <v>44985</v>
      </c>
      <c r="C429">
        <f>YEAR(yt_sports_channels_stats[[#This Row],[Start Date]])</f>
        <v>2023</v>
      </c>
      <c r="D429" s="1" t="str">
        <f>IF(YEAR(yt_sports_channels_stats[[#This Row],[Start Date]])&lt;2011,"Old Gen",IF(AND(YEAR(yt_sports_channels_stats[[#This Row],[Start Date]]&gt;2011),YEAR(yt_sports_channels_stats[[#This Row],[Start Date]])&lt;2020),"Mid Gen","New Gen"))</f>
        <v>New Gen</v>
      </c>
      <c r="E429">
        <v>207</v>
      </c>
      <c r="F429">
        <v>193218</v>
      </c>
      <c r="G429">
        <f>yt_sports_channels_stats[[#This Row],[view_count]]/yt_sports_channels_stats[[#This Row],[video_count]]</f>
        <v>933.4202898550725</v>
      </c>
      <c r="H429" s="4">
        <f>yt_sports_channels_stats[[#This Row],[subscriber_count]]/yt_sports_channels_stats[[#This Row],[view_count]]</f>
        <v>4.3163680402446974E-3</v>
      </c>
      <c r="I429">
        <v>834</v>
      </c>
    </row>
    <row r="430" spans="1:9" x14ac:dyDescent="0.25">
      <c r="A430" t="s">
        <v>393</v>
      </c>
      <c r="B430" s="1">
        <v>44222</v>
      </c>
      <c r="C430">
        <f>YEAR(yt_sports_channels_stats[[#This Row],[Start Date]])</f>
        <v>2021</v>
      </c>
      <c r="D430" s="1" t="str">
        <f>IF(YEAR(yt_sports_channels_stats[[#This Row],[Start Date]])&lt;2011,"Old Gen",IF(AND(YEAR(yt_sports_channels_stats[[#This Row],[Start Date]]&gt;2011),YEAR(yt_sports_channels_stats[[#This Row],[Start Date]])&lt;2020),"Mid Gen","New Gen"))</f>
        <v>New Gen</v>
      </c>
      <c r="E430">
        <v>5</v>
      </c>
      <c r="F430">
        <v>1107</v>
      </c>
      <c r="G430">
        <f>yt_sports_channels_stats[[#This Row],[view_count]]/yt_sports_channels_stats[[#This Row],[video_count]]</f>
        <v>221.4</v>
      </c>
      <c r="H430" s="4">
        <f>yt_sports_channels_stats[[#This Row],[subscriber_count]]/yt_sports_channels_stats[[#This Row],[view_count]]</f>
        <v>1.2646793134598013E-2</v>
      </c>
      <c r="I430">
        <v>14</v>
      </c>
    </row>
    <row r="431" spans="1:9" x14ac:dyDescent="0.25">
      <c r="A431" t="s">
        <v>493</v>
      </c>
      <c r="B431" s="1">
        <v>44372</v>
      </c>
      <c r="C431">
        <f>YEAR(yt_sports_channels_stats[[#This Row],[Start Date]])</f>
        <v>2021</v>
      </c>
      <c r="D431" s="1" t="str">
        <f>IF(YEAR(yt_sports_channels_stats[[#This Row],[Start Date]])&lt;2011,"Old Gen",IF(AND(YEAR(yt_sports_channels_stats[[#This Row],[Start Date]]&gt;2011),YEAR(yt_sports_channels_stats[[#This Row],[Start Date]])&lt;2020),"Mid Gen","New Gen"))</f>
        <v>New Gen</v>
      </c>
      <c r="E431">
        <v>5</v>
      </c>
      <c r="F431">
        <v>1251</v>
      </c>
      <c r="G431">
        <f>yt_sports_channels_stats[[#This Row],[view_count]]/yt_sports_channels_stats[[#This Row],[video_count]]</f>
        <v>250.2</v>
      </c>
      <c r="H431" s="4">
        <f>yt_sports_channels_stats[[#This Row],[subscriber_count]]/yt_sports_channels_stats[[#This Row],[view_count]]</f>
        <v>3.1974420463629096E-3</v>
      </c>
      <c r="I431">
        <v>4</v>
      </c>
    </row>
    <row r="432" spans="1:9" x14ac:dyDescent="0.25">
      <c r="A432" t="s">
        <v>394</v>
      </c>
      <c r="B432" s="1">
        <v>44735</v>
      </c>
      <c r="C432">
        <f>YEAR(yt_sports_channels_stats[[#This Row],[Start Date]])</f>
        <v>2022</v>
      </c>
      <c r="D432" s="1" t="str">
        <f>IF(YEAR(yt_sports_channels_stats[[#This Row],[Start Date]])&lt;2011,"Old Gen",IF(AND(YEAR(yt_sports_channels_stats[[#This Row],[Start Date]]&gt;2011),YEAR(yt_sports_channels_stats[[#This Row],[Start Date]])&lt;2020),"Mid Gen","New Gen"))</f>
        <v>New Gen</v>
      </c>
      <c r="E432">
        <v>25</v>
      </c>
      <c r="F432">
        <v>191721</v>
      </c>
      <c r="G432">
        <f>yt_sports_channels_stats[[#This Row],[view_count]]/yt_sports_channels_stats[[#This Row],[video_count]]</f>
        <v>7668.84</v>
      </c>
      <c r="H432" s="4">
        <f>yt_sports_channels_stats[[#This Row],[subscriber_count]]/yt_sports_channels_stats[[#This Row],[view_count]]</f>
        <v>1.6586602406622123E-3</v>
      </c>
      <c r="I432">
        <v>318</v>
      </c>
    </row>
    <row r="433" spans="1:9" x14ac:dyDescent="0.25">
      <c r="A433" t="s">
        <v>395</v>
      </c>
      <c r="B433" s="1">
        <v>45264</v>
      </c>
      <c r="C433">
        <f>YEAR(yt_sports_channels_stats[[#This Row],[Start Date]])</f>
        <v>2023</v>
      </c>
      <c r="D433" s="1" t="str">
        <f>IF(YEAR(yt_sports_channels_stats[[#This Row],[Start Date]])&lt;2011,"Old Gen",IF(AND(YEAR(yt_sports_channels_stats[[#This Row],[Start Date]]&gt;2011),YEAR(yt_sports_channels_stats[[#This Row],[Start Date]])&lt;2020),"Mid Gen","New Gen"))</f>
        <v>New Gen</v>
      </c>
      <c r="E433">
        <v>2</v>
      </c>
      <c r="F433">
        <v>17</v>
      </c>
      <c r="G433">
        <f>yt_sports_channels_stats[[#This Row],[view_count]]/yt_sports_channels_stats[[#This Row],[video_count]]</f>
        <v>8.5</v>
      </c>
      <c r="H433" s="4">
        <f>yt_sports_channels_stats[[#This Row],[subscriber_count]]/yt_sports_channels_stats[[#This Row],[view_count]]</f>
        <v>0.11764705882352941</v>
      </c>
      <c r="I433">
        <v>2</v>
      </c>
    </row>
    <row r="434" spans="1:9" x14ac:dyDescent="0.25">
      <c r="A434" t="s">
        <v>376</v>
      </c>
      <c r="B434" s="1">
        <v>44827</v>
      </c>
      <c r="C434">
        <f>YEAR(yt_sports_channels_stats[[#This Row],[Start Date]])</f>
        <v>2022</v>
      </c>
      <c r="D434" s="1" t="str">
        <f>IF(YEAR(yt_sports_channels_stats[[#This Row],[Start Date]])&lt;2011,"Old Gen",IF(AND(YEAR(yt_sports_channels_stats[[#This Row],[Start Date]]&gt;2011),YEAR(yt_sports_channels_stats[[#This Row],[Start Date]])&lt;2020),"Mid Gen","New Gen"))</f>
        <v>New Gen</v>
      </c>
      <c r="E434">
        <v>1</v>
      </c>
      <c r="F434">
        <v>17</v>
      </c>
      <c r="G434">
        <f>yt_sports_channels_stats[[#This Row],[view_count]]/yt_sports_channels_stats[[#This Row],[video_count]]</f>
        <v>17</v>
      </c>
      <c r="H434" s="4">
        <f>yt_sports_channels_stats[[#This Row],[subscriber_count]]/yt_sports_channels_stats[[#This Row],[view_count]]</f>
        <v>5.8823529411764705E-2</v>
      </c>
      <c r="I434">
        <v>1</v>
      </c>
    </row>
    <row r="435" spans="1:9" x14ac:dyDescent="0.25">
      <c r="A435" t="s">
        <v>396</v>
      </c>
      <c r="B435" s="1">
        <v>43929</v>
      </c>
      <c r="C435">
        <f>YEAR(yt_sports_channels_stats[[#This Row],[Start Date]])</f>
        <v>2020</v>
      </c>
      <c r="D435" s="1" t="str">
        <f>IF(YEAR(yt_sports_channels_stats[[#This Row],[Start Date]])&lt;2011,"Old Gen",IF(AND(YEAR(yt_sports_channels_stats[[#This Row],[Start Date]]&gt;2011),YEAR(yt_sports_channels_stats[[#This Row],[Start Date]])&lt;2020),"Mid Gen","New Gen"))</f>
        <v>New Gen</v>
      </c>
      <c r="E435">
        <v>15</v>
      </c>
      <c r="F435">
        <v>11508</v>
      </c>
      <c r="G435">
        <f>yt_sports_channels_stats[[#This Row],[view_count]]/yt_sports_channels_stats[[#This Row],[video_count]]</f>
        <v>767.2</v>
      </c>
      <c r="H435" s="4">
        <f>yt_sports_channels_stats[[#This Row],[subscriber_count]]/yt_sports_channels_stats[[#This Row],[view_count]]</f>
        <v>9.9061522419186657E-2</v>
      </c>
      <c r="I435">
        <v>1140</v>
      </c>
    </row>
    <row r="436" spans="1:9" x14ac:dyDescent="0.25">
      <c r="A436" t="s">
        <v>397</v>
      </c>
      <c r="B436" s="1">
        <v>44791</v>
      </c>
      <c r="C436">
        <f>YEAR(yt_sports_channels_stats[[#This Row],[Start Date]])</f>
        <v>2022</v>
      </c>
      <c r="D436" s="1" t="str">
        <f>IF(YEAR(yt_sports_channels_stats[[#This Row],[Start Date]])&lt;2011,"Old Gen",IF(AND(YEAR(yt_sports_channels_stats[[#This Row],[Start Date]]&gt;2011),YEAR(yt_sports_channels_stats[[#This Row],[Start Date]])&lt;2020),"Mid Gen","New Gen"))</f>
        <v>New Gen</v>
      </c>
      <c r="E436">
        <v>3</v>
      </c>
      <c r="F436">
        <v>40</v>
      </c>
      <c r="G436">
        <f>yt_sports_channels_stats[[#This Row],[view_count]]/yt_sports_channels_stats[[#This Row],[video_count]]</f>
        <v>13.333333333333334</v>
      </c>
      <c r="H436" s="4">
        <f>yt_sports_channels_stats[[#This Row],[subscriber_count]]/yt_sports_channels_stats[[#This Row],[view_count]]</f>
        <v>7.4999999999999997E-2</v>
      </c>
      <c r="I436">
        <v>3</v>
      </c>
    </row>
    <row r="437" spans="1:9" x14ac:dyDescent="0.25">
      <c r="A437" t="s">
        <v>494</v>
      </c>
      <c r="B437" s="1">
        <v>45223</v>
      </c>
      <c r="C437">
        <f>YEAR(yt_sports_channels_stats[[#This Row],[Start Date]])</f>
        <v>2023</v>
      </c>
      <c r="D437" s="1" t="str">
        <f>IF(YEAR(yt_sports_channels_stats[[#This Row],[Start Date]])&lt;2011,"Old Gen",IF(AND(YEAR(yt_sports_channels_stats[[#This Row],[Start Date]]&gt;2011),YEAR(yt_sports_channels_stats[[#This Row],[Start Date]])&lt;2020),"Mid Gen","New Gen"))</f>
        <v>New Gen</v>
      </c>
      <c r="E437">
        <v>30</v>
      </c>
      <c r="F437">
        <v>543</v>
      </c>
      <c r="G437">
        <f>yt_sports_channels_stats[[#This Row],[view_count]]/yt_sports_channels_stats[[#This Row],[video_count]]</f>
        <v>18.100000000000001</v>
      </c>
      <c r="H437" s="4">
        <f>yt_sports_channels_stats[[#This Row],[subscriber_count]]/yt_sports_channels_stats[[#This Row],[view_count]]</f>
        <v>4.9723756906077346E-2</v>
      </c>
      <c r="I437">
        <v>27</v>
      </c>
    </row>
    <row r="438" spans="1:9" x14ac:dyDescent="0.25">
      <c r="A438" t="s">
        <v>398</v>
      </c>
      <c r="B438" s="1">
        <v>44211</v>
      </c>
      <c r="C438">
        <f>YEAR(yt_sports_channels_stats[[#This Row],[Start Date]])</f>
        <v>2021</v>
      </c>
      <c r="D438" s="1" t="str">
        <f>IF(YEAR(yt_sports_channels_stats[[#This Row],[Start Date]])&lt;2011,"Old Gen",IF(AND(YEAR(yt_sports_channels_stats[[#This Row],[Start Date]]&gt;2011),YEAR(yt_sports_channels_stats[[#This Row],[Start Date]])&lt;2020),"Mid Gen","New Gen"))</f>
        <v>New Gen</v>
      </c>
      <c r="E438">
        <v>144</v>
      </c>
      <c r="F438">
        <v>77939</v>
      </c>
      <c r="G438">
        <f>yt_sports_channels_stats[[#This Row],[view_count]]/yt_sports_channels_stats[[#This Row],[video_count]]</f>
        <v>541.24305555555554</v>
      </c>
      <c r="H438" s="4">
        <f>yt_sports_channels_stats[[#This Row],[subscriber_count]]/yt_sports_channels_stats[[#This Row],[view_count]]</f>
        <v>1.070067616982512E-2</v>
      </c>
      <c r="I438">
        <v>834</v>
      </c>
    </row>
    <row r="439" spans="1:9" x14ac:dyDescent="0.25">
      <c r="A439" t="s">
        <v>399</v>
      </c>
      <c r="B439" s="1">
        <v>43400</v>
      </c>
      <c r="C439">
        <f>YEAR(yt_sports_channels_stats[[#This Row],[Start Date]])</f>
        <v>2018</v>
      </c>
      <c r="D439" s="1" t="str">
        <f>IF(YEAR(yt_sports_channels_stats[[#This Row],[Start Date]])&lt;2011,"Old Gen",IF(AND(YEAR(yt_sports_channels_stats[[#This Row],[Start Date]]&gt;2011),YEAR(yt_sports_channels_stats[[#This Row],[Start Date]])&lt;2020),"Mid Gen","New Gen"))</f>
        <v>Mid Gen</v>
      </c>
      <c r="E439">
        <v>4</v>
      </c>
      <c r="F439">
        <v>125141</v>
      </c>
      <c r="G439">
        <f>yt_sports_channels_stats[[#This Row],[view_count]]/yt_sports_channels_stats[[#This Row],[video_count]]</f>
        <v>31285.25</v>
      </c>
      <c r="H439" s="4">
        <f>yt_sports_channels_stats[[#This Row],[subscriber_count]]/yt_sports_channels_stats[[#This Row],[view_count]]</f>
        <v>1.8539087908838829E-3</v>
      </c>
      <c r="I439">
        <v>232</v>
      </c>
    </row>
    <row r="440" spans="1:9" x14ac:dyDescent="0.25">
      <c r="A440" t="s">
        <v>400</v>
      </c>
      <c r="B440" s="1">
        <v>45255</v>
      </c>
      <c r="C440">
        <f>YEAR(yt_sports_channels_stats[[#This Row],[Start Date]])</f>
        <v>2023</v>
      </c>
      <c r="D440" s="1" t="str">
        <f>IF(YEAR(yt_sports_channels_stats[[#This Row],[Start Date]])&lt;2011,"Old Gen",IF(AND(YEAR(yt_sports_channels_stats[[#This Row],[Start Date]]&gt;2011),YEAR(yt_sports_channels_stats[[#This Row],[Start Date]])&lt;2020),"Mid Gen","New Gen"))</f>
        <v>New Gen</v>
      </c>
      <c r="E440">
        <v>6</v>
      </c>
      <c r="F440">
        <v>89</v>
      </c>
      <c r="G440">
        <f>yt_sports_channels_stats[[#This Row],[view_count]]/yt_sports_channels_stats[[#This Row],[video_count]]</f>
        <v>14.833333333333334</v>
      </c>
      <c r="H440" s="4">
        <f>yt_sports_channels_stats[[#This Row],[subscriber_count]]/yt_sports_channels_stats[[#This Row],[view_count]]</f>
        <v>5.6179775280898875E-2</v>
      </c>
      <c r="I440">
        <v>5</v>
      </c>
    </row>
    <row r="441" spans="1:9" x14ac:dyDescent="0.25">
      <c r="A441" t="s">
        <v>401</v>
      </c>
      <c r="B441" s="1">
        <v>45352</v>
      </c>
      <c r="C441">
        <f>YEAR(yt_sports_channels_stats[[#This Row],[Start Date]])</f>
        <v>2024</v>
      </c>
      <c r="D441" s="1" t="str">
        <f>IF(YEAR(yt_sports_channels_stats[[#This Row],[Start Date]])&lt;2011,"Old Gen",IF(AND(YEAR(yt_sports_channels_stats[[#This Row],[Start Date]]&gt;2011),YEAR(yt_sports_channels_stats[[#This Row],[Start Date]])&lt;2020),"Mid Gen","New Gen"))</f>
        <v>New Gen</v>
      </c>
      <c r="E441">
        <v>3</v>
      </c>
      <c r="F441">
        <v>5</v>
      </c>
      <c r="G441">
        <f>yt_sports_channels_stats[[#This Row],[view_count]]/yt_sports_channels_stats[[#This Row],[video_count]]</f>
        <v>1.6666666666666667</v>
      </c>
      <c r="H441" s="4">
        <f>yt_sports_channels_stats[[#This Row],[subscriber_count]]/yt_sports_channels_stats[[#This Row],[view_count]]</f>
        <v>0.4</v>
      </c>
      <c r="I441">
        <v>2</v>
      </c>
    </row>
    <row r="442" spans="1:9" x14ac:dyDescent="0.25">
      <c r="A442" t="s">
        <v>402</v>
      </c>
      <c r="B442" s="1">
        <v>44832</v>
      </c>
      <c r="C442">
        <f>YEAR(yt_sports_channels_stats[[#This Row],[Start Date]])</f>
        <v>2022</v>
      </c>
      <c r="D442" s="1" t="str">
        <f>IF(YEAR(yt_sports_channels_stats[[#This Row],[Start Date]])&lt;2011,"Old Gen",IF(AND(YEAR(yt_sports_channels_stats[[#This Row],[Start Date]]&gt;2011),YEAR(yt_sports_channels_stats[[#This Row],[Start Date]])&lt;2020),"Mid Gen","New Gen"))</f>
        <v>New Gen</v>
      </c>
      <c r="E442">
        <v>2</v>
      </c>
      <c r="F442">
        <v>7</v>
      </c>
      <c r="G442">
        <f>yt_sports_channels_stats[[#This Row],[view_count]]/yt_sports_channels_stats[[#This Row],[video_count]]</f>
        <v>3.5</v>
      </c>
      <c r="H442" s="4">
        <f>yt_sports_channels_stats[[#This Row],[subscriber_count]]/yt_sports_channels_stats[[#This Row],[view_count]]</f>
        <v>0.2857142857142857</v>
      </c>
      <c r="I442">
        <v>2</v>
      </c>
    </row>
    <row r="443" spans="1:9" x14ac:dyDescent="0.25">
      <c r="A443" t="s">
        <v>403</v>
      </c>
      <c r="B443" s="1">
        <v>44837</v>
      </c>
      <c r="C443">
        <f>YEAR(yt_sports_channels_stats[[#This Row],[Start Date]])</f>
        <v>2022</v>
      </c>
      <c r="D443" s="1" t="str">
        <f>IF(YEAR(yt_sports_channels_stats[[#This Row],[Start Date]])&lt;2011,"Old Gen",IF(AND(YEAR(yt_sports_channels_stats[[#This Row],[Start Date]]&gt;2011),YEAR(yt_sports_channels_stats[[#This Row],[Start Date]])&lt;2020),"Mid Gen","New Gen"))</f>
        <v>New Gen</v>
      </c>
      <c r="E443">
        <v>3</v>
      </c>
      <c r="F443">
        <v>5</v>
      </c>
      <c r="G443">
        <f>yt_sports_channels_stats[[#This Row],[view_count]]/yt_sports_channels_stats[[#This Row],[video_count]]</f>
        <v>1.6666666666666667</v>
      </c>
      <c r="H443" s="4">
        <f>yt_sports_channels_stats[[#This Row],[subscriber_count]]/yt_sports_channels_stats[[#This Row],[view_count]]</f>
        <v>3.4</v>
      </c>
      <c r="I443">
        <v>17</v>
      </c>
    </row>
    <row r="444" spans="1:9" x14ac:dyDescent="0.25">
      <c r="A444" t="s">
        <v>404</v>
      </c>
      <c r="B444" s="1">
        <v>42476</v>
      </c>
      <c r="C444">
        <f>YEAR(yt_sports_channels_stats[[#This Row],[Start Date]])</f>
        <v>2016</v>
      </c>
      <c r="D444" s="1" t="str">
        <f>IF(YEAR(yt_sports_channels_stats[[#This Row],[Start Date]])&lt;2011,"Old Gen",IF(AND(YEAR(yt_sports_channels_stats[[#This Row],[Start Date]]&gt;2011),YEAR(yt_sports_channels_stats[[#This Row],[Start Date]])&lt;2020),"Mid Gen","New Gen"))</f>
        <v>Mid Gen</v>
      </c>
      <c r="E444">
        <v>44</v>
      </c>
      <c r="F444">
        <v>16278</v>
      </c>
      <c r="G444">
        <f>yt_sports_channels_stats[[#This Row],[view_count]]/yt_sports_channels_stats[[#This Row],[video_count]]</f>
        <v>369.95454545454544</v>
      </c>
      <c r="H444" s="4">
        <f>yt_sports_channels_stats[[#This Row],[subscriber_count]]/yt_sports_channels_stats[[#This Row],[view_count]]</f>
        <v>1.4129499938567392E-3</v>
      </c>
      <c r="I444">
        <v>23</v>
      </c>
    </row>
    <row r="445" spans="1:9" x14ac:dyDescent="0.25">
      <c r="A445" t="s">
        <v>405</v>
      </c>
      <c r="B445" s="1">
        <v>45301</v>
      </c>
      <c r="C445">
        <f>YEAR(yt_sports_channels_stats[[#This Row],[Start Date]])</f>
        <v>2024</v>
      </c>
      <c r="D445" s="1" t="str">
        <f>IF(YEAR(yt_sports_channels_stats[[#This Row],[Start Date]])&lt;2011,"Old Gen",IF(AND(YEAR(yt_sports_channels_stats[[#This Row],[Start Date]]&gt;2011),YEAR(yt_sports_channels_stats[[#This Row],[Start Date]])&lt;2020),"Mid Gen","New Gen"))</f>
        <v>New Gen</v>
      </c>
      <c r="E445">
        <v>8</v>
      </c>
      <c r="F445">
        <v>189</v>
      </c>
      <c r="G445">
        <f>yt_sports_channels_stats[[#This Row],[view_count]]/yt_sports_channels_stats[[#This Row],[video_count]]</f>
        <v>23.625</v>
      </c>
      <c r="H445" s="4">
        <f>yt_sports_channels_stats[[#This Row],[subscriber_count]]/yt_sports_channels_stats[[#This Row],[view_count]]</f>
        <v>0</v>
      </c>
      <c r="I445">
        <v>0</v>
      </c>
    </row>
    <row r="446" spans="1:9" x14ac:dyDescent="0.25">
      <c r="A446" t="s">
        <v>406</v>
      </c>
      <c r="B446" s="1">
        <v>44702</v>
      </c>
      <c r="C446">
        <f>YEAR(yt_sports_channels_stats[[#This Row],[Start Date]])</f>
        <v>2022</v>
      </c>
      <c r="D446" s="1" t="str">
        <f>IF(YEAR(yt_sports_channels_stats[[#This Row],[Start Date]])&lt;2011,"Old Gen",IF(AND(YEAR(yt_sports_channels_stats[[#This Row],[Start Date]]&gt;2011),YEAR(yt_sports_channels_stats[[#This Row],[Start Date]])&lt;2020),"Mid Gen","New Gen"))</f>
        <v>New Gen</v>
      </c>
      <c r="E446">
        <v>119</v>
      </c>
      <c r="F446">
        <v>64542</v>
      </c>
      <c r="G446">
        <f>yt_sports_channels_stats[[#This Row],[view_count]]/yt_sports_channels_stats[[#This Row],[video_count]]</f>
        <v>542.36974789915962</v>
      </c>
      <c r="H446" s="4">
        <f>yt_sports_channels_stats[[#This Row],[subscriber_count]]/yt_sports_channels_stats[[#This Row],[view_count]]</f>
        <v>1.0520281367171765E-2</v>
      </c>
      <c r="I446">
        <v>679</v>
      </c>
    </row>
    <row r="447" spans="1:9" x14ac:dyDescent="0.25">
      <c r="A447" t="s">
        <v>407</v>
      </c>
      <c r="B447" s="1">
        <v>40242</v>
      </c>
      <c r="C447">
        <f>YEAR(yt_sports_channels_stats[[#This Row],[Start Date]])</f>
        <v>2010</v>
      </c>
      <c r="D447" s="1" t="str">
        <f>IF(YEAR(yt_sports_channels_stats[[#This Row],[Start Date]])&lt;2011,"Old Gen",IF(AND(YEAR(yt_sports_channels_stats[[#This Row],[Start Date]]&gt;2011),YEAR(yt_sports_channels_stats[[#This Row],[Start Date]])&lt;2020),"Mid Gen","New Gen"))</f>
        <v>Old Gen</v>
      </c>
      <c r="E447">
        <v>10</v>
      </c>
      <c r="F447">
        <v>507</v>
      </c>
      <c r="G447">
        <f>yt_sports_channels_stats[[#This Row],[view_count]]/yt_sports_channels_stats[[#This Row],[video_count]]</f>
        <v>50.7</v>
      </c>
      <c r="H447" s="4">
        <f>yt_sports_channels_stats[[#This Row],[subscriber_count]]/yt_sports_channels_stats[[#This Row],[view_count]]</f>
        <v>1.9723865877712032E-2</v>
      </c>
      <c r="I447">
        <v>10</v>
      </c>
    </row>
    <row r="448" spans="1:9" x14ac:dyDescent="0.25">
      <c r="A448" t="s">
        <v>408</v>
      </c>
      <c r="B448" s="1">
        <v>42800</v>
      </c>
      <c r="C448">
        <f>YEAR(yt_sports_channels_stats[[#This Row],[Start Date]])</f>
        <v>2017</v>
      </c>
      <c r="D448" s="1" t="str">
        <f>IF(YEAR(yt_sports_channels_stats[[#This Row],[Start Date]])&lt;2011,"Old Gen",IF(AND(YEAR(yt_sports_channels_stats[[#This Row],[Start Date]]&gt;2011),YEAR(yt_sports_channels_stats[[#This Row],[Start Date]])&lt;2020),"Mid Gen","New Gen"))</f>
        <v>Mid Gen</v>
      </c>
      <c r="E448">
        <v>19</v>
      </c>
      <c r="F448">
        <v>2846</v>
      </c>
      <c r="G448">
        <f>yt_sports_channels_stats[[#This Row],[view_count]]/yt_sports_channels_stats[[#This Row],[video_count]]</f>
        <v>149.78947368421052</v>
      </c>
      <c r="H448" s="4">
        <f>yt_sports_channels_stats[[#This Row],[subscriber_count]]/yt_sports_channels_stats[[#This Row],[view_count]]</f>
        <v>4.567814476458187E-3</v>
      </c>
      <c r="I448">
        <v>13</v>
      </c>
    </row>
    <row r="449" spans="1:9" x14ac:dyDescent="0.25">
      <c r="A449" t="s">
        <v>409</v>
      </c>
      <c r="B449" s="1">
        <v>44115</v>
      </c>
      <c r="C449">
        <f>YEAR(yt_sports_channels_stats[[#This Row],[Start Date]])</f>
        <v>2020</v>
      </c>
      <c r="D449" s="1" t="str">
        <f>IF(YEAR(yt_sports_channels_stats[[#This Row],[Start Date]])&lt;2011,"Old Gen",IF(AND(YEAR(yt_sports_channels_stats[[#This Row],[Start Date]]&gt;2011),YEAR(yt_sports_channels_stats[[#This Row],[Start Date]])&lt;2020),"Mid Gen","New Gen"))</f>
        <v>New Gen</v>
      </c>
      <c r="E449">
        <v>7</v>
      </c>
      <c r="F449">
        <v>242</v>
      </c>
      <c r="G449">
        <f>yt_sports_channels_stats[[#This Row],[view_count]]/yt_sports_channels_stats[[#This Row],[video_count]]</f>
        <v>34.571428571428569</v>
      </c>
      <c r="H449" s="4">
        <f>yt_sports_channels_stats[[#This Row],[subscriber_count]]/yt_sports_channels_stats[[#This Row],[view_count]]</f>
        <v>0.35537190082644626</v>
      </c>
      <c r="I449">
        <v>86</v>
      </c>
    </row>
    <row r="450" spans="1:9" x14ac:dyDescent="0.25">
      <c r="A450" t="s">
        <v>410</v>
      </c>
      <c r="B450" s="1">
        <v>42729</v>
      </c>
      <c r="C450">
        <f>YEAR(yt_sports_channels_stats[[#This Row],[Start Date]])</f>
        <v>2016</v>
      </c>
      <c r="D450" s="1" t="str">
        <f>IF(YEAR(yt_sports_channels_stats[[#This Row],[Start Date]])&lt;2011,"Old Gen",IF(AND(YEAR(yt_sports_channels_stats[[#This Row],[Start Date]]&gt;2011),YEAR(yt_sports_channels_stats[[#This Row],[Start Date]])&lt;2020),"Mid Gen","New Gen"))</f>
        <v>Mid Gen</v>
      </c>
      <c r="E450">
        <v>186</v>
      </c>
      <c r="F450">
        <v>348588</v>
      </c>
      <c r="G450">
        <f>yt_sports_channels_stats[[#This Row],[view_count]]/yt_sports_channels_stats[[#This Row],[video_count]]</f>
        <v>1874.1290322580646</v>
      </c>
      <c r="H450" s="4">
        <f>yt_sports_channels_stats[[#This Row],[subscriber_count]]/yt_sports_channels_stats[[#This Row],[view_count]]</f>
        <v>3.95882818685669E-3</v>
      </c>
      <c r="I450">
        <v>1380</v>
      </c>
    </row>
    <row r="451" spans="1:9" x14ac:dyDescent="0.25">
      <c r="A451" t="s">
        <v>411</v>
      </c>
      <c r="B451" s="1">
        <v>45020</v>
      </c>
      <c r="C451">
        <f>YEAR(yt_sports_channels_stats[[#This Row],[Start Date]])</f>
        <v>2023</v>
      </c>
      <c r="D451" s="1" t="str">
        <f>IF(YEAR(yt_sports_channels_stats[[#This Row],[Start Date]])&lt;2011,"Old Gen",IF(AND(YEAR(yt_sports_channels_stats[[#This Row],[Start Date]]&gt;2011),YEAR(yt_sports_channels_stats[[#This Row],[Start Date]])&lt;2020),"Mid Gen","New Gen"))</f>
        <v>New Gen</v>
      </c>
      <c r="E451">
        <v>12</v>
      </c>
      <c r="F451">
        <v>5253</v>
      </c>
      <c r="G451">
        <f>yt_sports_channels_stats[[#This Row],[view_count]]/yt_sports_channels_stats[[#This Row],[video_count]]</f>
        <v>437.75</v>
      </c>
      <c r="H451" s="4">
        <f>yt_sports_channels_stats[[#This Row],[subscriber_count]]/yt_sports_channels_stats[[#This Row],[view_count]]</f>
        <v>5.5206548638873027E-3</v>
      </c>
      <c r="I451">
        <v>29</v>
      </c>
    </row>
    <row r="452" spans="1:9" x14ac:dyDescent="0.25">
      <c r="A452" t="s">
        <v>381</v>
      </c>
      <c r="B452" s="1">
        <v>45014</v>
      </c>
      <c r="C452">
        <f>YEAR(yt_sports_channels_stats[[#This Row],[Start Date]])</f>
        <v>2023</v>
      </c>
      <c r="D452" s="1" t="str">
        <f>IF(YEAR(yt_sports_channels_stats[[#This Row],[Start Date]])&lt;2011,"Old Gen",IF(AND(YEAR(yt_sports_channels_stats[[#This Row],[Start Date]]&gt;2011),YEAR(yt_sports_channels_stats[[#This Row],[Start Date]])&lt;2020),"Mid Gen","New Gen"))</f>
        <v>New Gen</v>
      </c>
      <c r="E452">
        <v>5</v>
      </c>
      <c r="F452">
        <v>2942</v>
      </c>
      <c r="G452">
        <f>yt_sports_channels_stats[[#This Row],[view_count]]/yt_sports_channels_stats[[#This Row],[video_count]]</f>
        <v>588.4</v>
      </c>
      <c r="H452" s="4">
        <f>yt_sports_channels_stats[[#This Row],[subscriber_count]]/yt_sports_channels_stats[[#This Row],[view_count]]</f>
        <v>1.3596193065941536E-3</v>
      </c>
      <c r="I452">
        <v>4</v>
      </c>
    </row>
    <row r="453" spans="1:9" x14ac:dyDescent="0.25">
      <c r="A453" t="s">
        <v>412</v>
      </c>
      <c r="B453" s="1">
        <v>45076</v>
      </c>
      <c r="C453">
        <f>YEAR(yt_sports_channels_stats[[#This Row],[Start Date]])</f>
        <v>2023</v>
      </c>
      <c r="D453" s="1" t="str">
        <f>IF(YEAR(yt_sports_channels_stats[[#This Row],[Start Date]])&lt;2011,"Old Gen",IF(AND(YEAR(yt_sports_channels_stats[[#This Row],[Start Date]]&gt;2011),YEAR(yt_sports_channels_stats[[#This Row],[Start Date]])&lt;2020),"Mid Gen","New Gen"))</f>
        <v>New Gen</v>
      </c>
      <c r="E453">
        <v>75</v>
      </c>
      <c r="F453">
        <v>81046</v>
      </c>
      <c r="G453">
        <f>yt_sports_channels_stats[[#This Row],[view_count]]/yt_sports_channels_stats[[#This Row],[video_count]]</f>
        <v>1080.6133333333332</v>
      </c>
      <c r="H453" s="4">
        <f>yt_sports_channels_stats[[#This Row],[subscriber_count]]/yt_sports_channels_stats[[#This Row],[view_count]]</f>
        <v>7.1811070256397602E-3</v>
      </c>
      <c r="I453">
        <v>582</v>
      </c>
    </row>
    <row r="454" spans="1:9" x14ac:dyDescent="0.25">
      <c r="A454" t="s">
        <v>413</v>
      </c>
      <c r="B454" s="1">
        <v>45254</v>
      </c>
      <c r="C454">
        <f>YEAR(yt_sports_channels_stats[[#This Row],[Start Date]])</f>
        <v>2023</v>
      </c>
      <c r="D454" s="1" t="str">
        <f>IF(YEAR(yt_sports_channels_stats[[#This Row],[Start Date]])&lt;2011,"Old Gen",IF(AND(YEAR(yt_sports_channels_stats[[#This Row],[Start Date]]&gt;2011),YEAR(yt_sports_channels_stats[[#This Row],[Start Date]])&lt;2020),"Mid Gen","New Gen"))</f>
        <v>New Gen</v>
      </c>
      <c r="E454">
        <v>68</v>
      </c>
      <c r="F454">
        <v>11820</v>
      </c>
      <c r="G454">
        <f>yt_sports_channels_stats[[#This Row],[view_count]]/yt_sports_channels_stats[[#This Row],[video_count]]</f>
        <v>173.8235294117647</v>
      </c>
      <c r="H454" s="4">
        <f>yt_sports_channels_stats[[#This Row],[subscriber_count]]/yt_sports_channels_stats[[#This Row],[view_count]]</f>
        <v>1.1590524534686971E-2</v>
      </c>
      <c r="I454">
        <v>137</v>
      </c>
    </row>
    <row r="455" spans="1:9" x14ac:dyDescent="0.25">
      <c r="A455" t="s">
        <v>414</v>
      </c>
      <c r="B455" s="1">
        <v>45247</v>
      </c>
      <c r="C455">
        <f>YEAR(yt_sports_channels_stats[[#This Row],[Start Date]])</f>
        <v>2023</v>
      </c>
      <c r="D455" s="1" t="str">
        <f>IF(YEAR(yt_sports_channels_stats[[#This Row],[Start Date]])&lt;2011,"Old Gen",IF(AND(YEAR(yt_sports_channels_stats[[#This Row],[Start Date]]&gt;2011),YEAR(yt_sports_channels_stats[[#This Row],[Start Date]])&lt;2020),"Mid Gen","New Gen"))</f>
        <v>New Gen</v>
      </c>
      <c r="E455">
        <v>6</v>
      </c>
      <c r="F455">
        <v>234</v>
      </c>
      <c r="G455">
        <f>yt_sports_channels_stats[[#This Row],[view_count]]/yt_sports_channels_stats[[#This Row],[video_count]]</f>
        <v>39</v>
      </c>
      <c r="H455" s="4">
        <f>yt_sports_channels_stats[[#This Row],[subscriber_count]]/yt_sports_channels_stats[[#This Row],[view_count]]</f>
        <v>1.282051282051282E-2</v>
      </c>
      <c r="I455">
        <v>3</v>
      </c>
    </row>
    <row r="456" spans="1:9" x14ac:dyDescent="0.25">
      <c r="A456" t="s">
        <v>415</v>
      </c>
      <c r="B456" s="1">
        <v>44234</v>
      </c>
      <c r="C456">
        <f>YEAR(yt_sports_channels_stats[[#This Row],[Start Date]])</f>
        <v>2021</v>
      </c>
      <c r="D456" s="1" t="str">
        <f>IF(YEAR(yt_sports_channels_stats[[#This Row],[Start Date]])&lt;2011,"Old Gen",IF(AND(YEAR(yt_sports_channels_stats[[#This Row],[Start Date]]&gt;2011),YEAR(yt_sports_channels_stats[[#This Row],[Start Date]])&lt;2020),"Mid Gen","New Gen"))</f>
        <v>New Gen</v>
      </c>
      <c r="E456">
        <v>18</v>
      </c>
      <c r="F456">
        <v>30683</v>
      </c>
      <c r="G456">
        <f>yt_sports_channels_stats[[#This Row],[view_count]]/yt_sports_channels_stats[[#This Row],[video_count]]</f>
        <v>1704.6111111111111</v>
      </c>
      <c r="H456" s="4">
        <f>yt_sports_channels_stats[[#This Row],[subscriber_count]]/yt_sports_channels_stats[[#This Row],[view_count]]</f>
        <v>3.0309943616986606E-3</v>
      </c>
      <c r="I456">
        <v>93</v>
      </c>
    </row>
    <row r="457" spans="1:9" x14ac:dyDescent="0.25">
      <c r="A457" t="s">
        <v>495</v>
      </c>
      <c r="B457" s="1">
        <v>45083</v>
      </c>
      <c r="C457">
        <f>YEAR(yt_sports_channels_stats[[#This Row],[Start Date]])</f>
        <v>2023</v>
      </c>
      <c r="D457" s="1" t="str">
        <f>IF(YEAR(yt_sports_channels_stats[[#This Row],[Start Date]])&lt;2011,"Old Gen",IF(AND(YEAR(yt_sports_channels_stats[[#This Row],[Start Date]]&gt;2011),YEAR(yt_sports_channels_stats[[#This Row],[Start Date]])&lt;2020),"Mid Gen","New Gen"))</f>
        <v>New Gen</v>
      </c>
      <c r="E457">
        <v>5</v>
      </c>
      <c r="F457">
        <v>48</v>
      </c>
      <c r="G457">
        <f>yt_sports_channels_stats[[#This Row],[view_count]]/yt_sports_channels_stats[[#This Row],[video_count]]</f>
        <v>9.6</v>
      </c>
      <c r="H457" s="4">
        <f>yt_sports_channels_stats[[#This Row],[subscriber_count]]/yt_sports_channels_stats[[#This Row],[view_count]]</f>
        <v>0.14583333333333334</v>
      </c>
      <c r="I457">
        <v>7</v>
      </c>
    </row>
    <row r="458" spans="1:9" x14ac:dyDescent="0.25">
      <c r="A458" t="s">
        <v>416</v>
      </c>
      <c r="B458" s="1">
        <v>44541</v>
      </c>
      <c r="C458">
        <f>YEAR(yt_sports_channels_stats[[#This Row],[Start Date]])</f>
        <v>2021</v>
      </c>
      <c r="D458" s="1" t="str">
        <f>IF(YEAR(yt_sports_channels_stats[[#This Row],[Start Date]])&lt;2011,"Old Gen",IF(AND(YEAR(yt_sports_channels_stats[[#This Row],[Start Date]]&gt;2011),YEAR(yt_sports_channels_stats[[#This Row],[Start Date]])&lt;2020),"Mid Gen","New Gen"))</f>
        <v>New Gen</v>
      </c>
      <c r="E458">
        <v>12</v>
      </c>
      <c r="F458">
        <v>1965</v>
      </c>
      <c r="G458">
        <f>yt_sports_channels_stats[[#This Row],[view_count]]/yt_sports_channels_stats[[#This Row],[video_count]]</f>
        <v>163.75</v>
      </c>
      <c r="H458" s="4">
        <f>yt_sports_channels_stats[[#This Row],[subscriber_count]]/yt_sports_channels_stats[[#This Row],[view_count]]</f>
        <v>5.5979643765903305E-3</v>
      </c>
      <c r="I458">
        <v>11</v>
      </c>
    </row>
    <row r="459" spans="1:9" x14ac:dyDescent="0.25">
      <c r="A459" t="s">
        <v>417</v>
      </c>
      <c r="B459" s="1">
        <v>45173</v>
      </c>
      <c r="C459">
        <f>YEAR(yt_sports_channels_stats[[#This Row],[Start Date]])</f>
        <v>2023</v>
      </c>
      <c r="D459" s="1" t="str">
        <f>IF(YEAR(yt_sports_channels_stats[[#This Row],[Start Date]])&lt;2011,"Old Gen",IF(AND(YEAR(yt_sports_channels_stats[[#This Row],[Start Date]]&gt;2011),YEAR(yt_sports_channels_stats[[#This Row],[Start Date]])&lt;2020),"Mid Gen","New Gen"))</f>
        <v>New Gen</v>
      </c>
      <c r="E459">
        <v>4</v>
      </c>
      <c r="F459">
        <v>2598</v>
      </c>
      <c r="G459">
        <f>yt_sports_channels_stats[[#This Row],[view_count]]/yt_sports_channels_stats[[#This Row],[video_count]]</f>
        <v>649.5</v>
      </c>
      <c r="H459" s="4">
        <f>yt_sports_channels_stats[[#This Row],[subscriber_count]]/yt_sports_channels_stats[[#This Row],[view_count]]</f>
        <v>4.2340261739799842E-3</v>
      </c>
      <c r="I459">
        <v>11</v>
      </c>
    </row>
    <row r="460" spans="1:9" x14ac:dyDescent="0.25">
      <c r="A460" t="s">
        <v>418</v>
      </c>
      <c r="B460" s="1">
        <v>45082</v>
      </c>
      <c r="C460">
        <f>YEAR(yt_sports_channels_stats[[#This Row],[Start Date]])</f>
        <v>2023</v>
      </c>
      <c r="D460" s="1" t="str">
        <f>IF(YEAR(yt_sports_channels_stats[[#This Row],[Start Date]])&lt;2011,"Old Gen",IF(AND(YEAR(yt_sports_channels_stats[[#This Row],[Start Date]]&gt;2011),YEAR(yt_sports_channels_stats[[#This Row],[Start Date]])&lt;2020),"Mid Gen","New Gen"))</f>
        <v>New Gen</v>
      </c>
      <c r="E460">
        <v>93</v>
      </c>
      <c r="F460">
        <v>65392</v>
      </c>
      <c r="G460">
        <f>yt_sports_channels_stats[[#This Row],[view_count]]/yt_sports_channels_stats[[#This Row],[video_count]]</f>
        <v>703.13978494623655</v>
      </c>
      <c r="H460" s="4">
        <f>yt_sports_channels_stats[[#This Row],[subscriber_count]]/yt_sports_channels_stats[[#This Row],[view_count]]</f>
        <v>2.6914607291411794E-3</v>
      </c>
      <c r="I460">
        <v>176</v>
      </c>
    </row>
    <row r="461" spans="1:9" x14ac:dyDescent="0.25">
      <c r="A461" t="s">
        <v>419</v>
      </c>
      <c r="B461" s="1">
        <v>44988</v>
      </c>
      <c r="C461">
        <f>YEAR(yt_sports_channels_stats[[#This Row],[Start Date]])</f>
        <v>2023</v>
      </c>
      <c r="D461" s="1" t="str">
        <f>IF(YEAR(yt_sports_channels_stats[[#This Row],[Start Date]])&lt;2011,"Old Gen",IF(AND(YEAR(yt_sports_channels_stats[[#This Row],[Start Date]]&gt;2011),YEAR(yt_sports_channels_stats[[#This Row],[Start Date]])&lt;2020),"Mid Gen","New Gen"))</f>
        <v>New Gen</v>
      </c>
      <c r="E461">
        <v>42</v>
      </c>
      <c r="F461">
        <v>45279</v>
      </c>
      <c r="G461">
        <f>yt_sports_channels_stats[[#This Row],[view_count]]/yt_sports_channels_stats[[#This Row],[video_count]]</f>
        <v>1078.0714285714287</v>
      </c>
      <c r="H461" s="4">
        <f>yt_sports_channels_stats[[#This Row],[subscriber_count]]/yt_sports_channels_stats[[#This Row],[view_count]]</f>
        <v>2.7606616753903575E-3</v>
      </c>
      <c r="I461">
        <v>125</v>
      </c>
    </row>
    <row r="462" spans="1:9" x14ac:dyDescent="0.25">
      <c r="A462" t="s">
        <v>420</v>
      </c>
      <c r="B462" s="1">
        <v>44963</v>
      </c>
      <c r="C462">
        <f>YEAR(yt_sports_channels_stats[[#This Row],[Start Date]])</f>
        <v>2023</v>
      </c>
      <c r="D462" s="1" t="str">
        <f>IF(YEAR(yt_sports_channels_stats[[#This Row],[Start Date]])&lt;2011,"Old Gen",IF(AND(YEAR(yt_sports_channels_stats[[#This Row],[Start Date]]&gt;2011),YEAR(yt_sports_channels_stats[[#This Row],[Start Date]])&lt;2020),"Mid Gen","New Gen"))</f>
        <v>New Gen</v>
      </c>
      <c r="E462">
        <v>41</v>
      </c>
      <c r="F462">
        <v>1817</v>
      </c>
      <c r="G462">
        <f>yt_sports_channels_stats[[#This Row],[view_count]]/yt_sports_channels_stats[[#This Row],[video_count]]</f>
        <v>44.31707317073171</v>
      </c>
      <c r="H462" s="4">
        <f>yt_sports_channels_stats[[#This Row],[subscriber_count]]/yt_sports_channels_stats[[#This Row],[view_count]]</f>
        <v>3.1920748486516236E-2</v>
      </c>
      <c r="I462">
        <v>58</v>
      </c>
    </row>
    <row r="463" spans="1:9" x14ac:dyDescent="0.25">
      <c r="A463" t="s">
        <v>496</v>
      </c>
      <c r="B463" s="1">
        <v>45059</v>
      </c>
      <c r="C463">
        <f>YEAR(yt_sports_channels_stats[[#This Row],[Start Date]])</f>
        <v>2023</v>
      </c>
      <c r="D463" s="1" t="str">
        <f>IF(YEAR(yt_sports_channels_stats[[#This Row],[Start Date]])&lt;2011,"Old Gen",IF(AND(YEAR(yt_sports_channels_stats[[#This Row],[Start Date]]&gt;2011),YEAR(yt_sports_channels_stats[[#This Row],[Start Date]])&lt;2020),"Mid Gen","New Gen"))</f>
        <v>New Gen</v>
      </c>
      <c r="E463">
        <v>26</v>
      </c>
      <c r="F463">
        <v>21082</v>
      </c>
      <c r="G463">
        <f>yt_sports_channels_stats[[#This Row],[view_count]]/yt_sports_channels_stats[[#This Row],[video_count]]</f>
        <v>810.84615384615381</v>
      </c>
      <c r="H463" s="4">
        <f>yt_sports_channels_stats[[#This Row],[subscriber_count]]/yt_sports_channels_stats[[#This Row],[view_count]]</f>
        <v>4.8856844701641207E-3</v>
      </c>
      <c r="I463">
        <v>103</v>
      </c>
    </row>
    <row r="464" spans="1:9" x14ac:dyDescent="0.25">
      <c r="A464" t="s">
        <v>497</v>
      </c>
      <c r="B464" s="1">
        <v>45123</v>
      </c>
      <c r="C464">
        <f>YEAR(yt_sports_channels_stats[[#This Row],[Start Date]])</f>
        <v>2023</v>
      </c>
      <c r="D464" s="1" t="str">
        <f>IF(YEAR(yt_sports_channels_stats[[#This Row],[Start Date]])&lt;2011,"Old Gen",IF(AND(YEAR(yt_sports_channels_stats[[#This Row],[Start Date]]&gt;2011),YEAR(yt_sports_channels_stats[[#This Row],[Start Date]])&lt;2020),"Mid Gen","New Gen"))</f>
        <v>New Gen</v>
      </c>
      <c r="E464">
        <v>1</v>
      </c>
      <c r="F464">
        <v>1</v>
      </c>
      <c r="G464">
        <f>yt_sports_channels_stats[[#This Row],[view_count]]/yt_sports_channels_stats[[#This Row],[video_count]]</f>
        <v>1</v>
      </c>
      <c r="H464" s="4">
        <f>yt_sports_channels_stats[[#This Row],[subscriber_count]]/yt_sports_channels_stats[[#This Row],[view_count]]</f>
        <v>0</v>
      </c>
      <c r="I464">
        <v>0</v>
      </c>
    </row>
    <row r="465" spans="1:9" x14ac:dyDescent="0.25">
      <c r="A465" t="s">
        <v>421</v>
      </c>
      <c r="B465" s="1">
        <v>45292</v>
      </c>
      <c r="C465">
        <f>YEAR(yt_sports_channels_stats[[#This Row],[Start Date]])</f>
        <v>2024</v>
      </c>
      <c r="D465" s="1" t="str">
        <f>IF(YEAR(yt_sports_channels_stats[[#This Row],[Start Date]])&lt;2011,"Old Gen",IF(AND(YEAR(yt_sports_channels_stats[[#This Row],[Start Date]]&gt;2011),YEAR(yt_sports_channels_stats[[#This Row],[Start Date]])&lt;2020),"Mid Gen","New Gen"))</f>
        <v>New Gen</v>
      </c>
      <c r="E465">
        <v>6</v>
      </c>
      <c r="F465">
        <v>24</v>
      </c>
      <c r="G465">
        <f>yt_sports_channels_stats[[#This Row],[view_count]]/yt_sports_channels_stats[[#This Row],[video_count]]</f>
        <v>4</v>
      </c>
      <c r="H465" s="4">
        <f>yt_sports_channels_stats[[#This Row],[subscriber_count]]/yt_sports_channels_stats[[#This Row],[view_count]]</f>
        <v>4.1666666666666664E-2</v>
      </c>
      <c r="I465">
        <v>1</v>
      </c>
    </row>
    <row r="466" spans="1:9" x14ac:dyDescent="0.25">
      <c r="A466" t="s">
        <v>422</v>
      </c>
      <c r="B466" s="1">
        <v>41628</v>
      </c>
      <c r="C466">
        <f>YEAR(yt_sports_channels_stats[[#This Row],[Start Date]])</f>
        <v>2013</v>
      </c>
      <c r="D466" s="1" t="str">
        <f>IF(YEAR(yt_sports_channels_stats[[#This Row],[Start Date]])&lt;2011,"Old Gen",IF(AND(YEAR(yt_sports_channels_stats[[#This Row],[Start Date]]&gt;2011),YEAR(yt_sports_channels_stats[[#This Row],[Start Date]])&lt;2020),"Mid Gen","New Gen"))</f>
        <v>Mid Gen</v>
      </c>
      <c r="E466">
        <v>23</v>
      </c>
      <c r="F466">
        <v>5729</v>
      </c>
      <c r="G466">
        <f>yt_sports_channels_stats[[#This Row],[view_count]]/yt_sports_channels_stats[[#This Row],[video_count]]</f>
        <v>249.08695652173913</v>
      </c>
      <c r="H466" s="4">
        <f>yt_sports_channels_stats[[#This Row],[subscriber_count]]/yt_sports_channels_stats[[#This Row],[view_count]]</f>
        <v>9.2511782160935585E-3</v>
      </c>
      <c r="I466">
        <v>53</v>
      </c>
    </row>
    <row r="467" spans="1:9" x14ac:dyDescent="0.25">
      <c r="A467" t="s">
        <v>423</v>
      </c>
      <c r="B467" s="1">
        <v>44715</v>
      </c>
      <c r="C467">
        <f>YEAR(yt_sports_channels_stats[[#This Row],[Start Date]])</f>
        <v>2022</v>
      </c>
      <c r="D467" s="1" t="str">
        <f>IF(YEAR(yt_sports_channels_stats[[#This Row],[Start Date]])&lt;2011,"Old Gen",IF(AND(YEAR(yt_sports_channels_stats[[#This Row],[Start Date]]&gt;2011),YEAR(yt_sports_channels_stats[[#This Row],[Start Date]])&lt;2020),"Mid Gen","New Gen"))</f>
        <v>New Gen</v>
      </c>
      <c r="E467">
        <v>8</v>
      </c>
      <c r="F467">
        <v>844</v>
      </c>
      <c r="G467">
        <f>yt_sports_channels_stats[[#This Row],[view_count]]/yt_sports_channels_stats[[#This Row],[video_count]]</f>
        <v>105.5</v>
      </c>
      <c r="H467" s="4">
        <f>yt_sports_channels_stats[[#This Row],[subscriber_count]]/yt_sports_channels_stats[[#This Row],[view_count]]</f>
        <v>2.4881516587677725E-2</v>
      </c>
      <c r="I467">
        <v>21</v>
      </c>
    </row>
    <row r="468" spans="1:9" x14ac:dyDescent="0.25">
      <c r="A468" t="s">
        <v>424</v>
      </c>
      <c r="B468" s="1">
        <v>41530</v>
      </c>
      <c r="C468">
        <f>YEAR(yt_sports_channels_stats[[#This Row],[Start Date]])</f>
        <v>2013</v>
      </c>
      <c r="D468" s="1" t="str">
        <f>IF(YEAR(yt_sports_channels_stats[[#This Row],[Start Date]])&lt;2011,"Old Gen",IF(AND(YEAR(yt_sports_channels_stats[[#This Row],[Start Date]]&gt;2011),YEAR(yt_sports_channels_stats[[#This Row],[Start Date]])&lt;2020),"Mid Gen","New Gen"))</f>
        <v>Mid Gen</v>
      </c>
      <c r="E468">
        <v>33</v>
      </c>
      <c r="F468">
        <v>15242</v>
      </c>
      <c r="G468">
        <f>yt_sports_channels_stats[[#This Row],[view_count]]/yt_sports_channels_stats[[#This Row],[video_count]]</f>
        <v>461.87878787878788</v>
      </c>
      <c r="H468" s="4">
        <f>yt_sports_channels_stats[[#This Row],[subscriber_count]]/yt_sports_channels_stats[[#This Row],[view_count]]</f>
        <v>3.083584831386957E-3</v>
      </c>
      <c r="I468">
        <v>47</v>
      </c>
    </row>
    <row r="469" spans="1:9" x14ac:dyDescent="0.25">
      <c r="A469" t="s">
        <v>425</v>
      </c>
      <c r="B469" s="1">
        <v>44438</v>
      </c>
      <c r="C469">
        <f>YEAR(yt_sports_channels_stats[[#This Row],[Start Date]])</f>
        <v>2021</v>
      </c>
      <c r="D469" s="1" t="str">
        <f>IF(YEAR(yt_sports_channels_stats[[#This Row],[Start Date]])&lt;2011,"Old Gen",IF(AND(YEAR(yt_sports_channels_stats[[#This Row],[Start Date]]&gt;2011),YEAR(yt_sports_channels_stats[[#This Row],[Start Date]])&lt;2020),"Mid Gen","New Gen"))</f>
        <v>New Gen</v>
      </c>
      <c r="E469">
        <v>3</v>
      </c>
      <c r="F469">
        <v>68</v>
      </c>
      <c r="G469">
        <f>yt_sports_channels_stats[[#This Row],[view_count]]/yt_sports_channels_stats[[#This Row],[video_count]]</f>
        <v>22.666666666666668</v>
      </c>
      <c r="H469" s="4">
        <f>yt_sports_channels_stats[[#This Row],[subscriber_count]]/yt_sports_channels_stats[[#This Row],[view_count]]</f>
        <v>2.9411764705882353E-2</v>
      </c>
      <c r="I469">
        <v>2</v>
      </c>
    </row>
    <row r="470" spans="1:9" x14ac:dyDescent="0.25">
      <c r="A470" t="s">
        <v>426</v>
      </c>
      <c r="B470" s="1">
        <v>43147</v>
      </c>
      <c r="C470">
        <f>YEAR(yt_sports_channels_stats[[#This Row],[Start Date]])</f>
        <v>2018</v>
      </c>
      <c r="D470" s="1" t="str">
        <f>IF(YEAR(yt_sports_channels_stats[[#This Row],[Start Date]])&lt;2011,"Old Gen",IF(AND(YEAR(yt_sports_channels_stats[[#This Row],[Start Date]]&gt;2011),YEAR(yt_sports_channels_stats[[#This Row],[Start Date]])&lt;2020),"Mid Gen","New Gen"))</f>
        <v>Mid Gen</v>
      </c>
      <c r="E470">
        <v>24</v>
      </c>
      <c r="F470">
        <v>4829</v>
      </c>
      <c r="G470">
        <f>yt_sports_channels_stats[[#This Row],[view_count]]/yt_sports_channels_stats[[#This Row],[video_count]]</f>
        <v>201.20833333333334</v>
      </c>
      <c r="H470" s="4">
        <f>yt_sports_channels_stats[[#This Row],[subscriber_count]]/yt_sports_channels_stats[[#This Row],[view_count]]</f>
        <v>6.6266307724166494E-3</v>
      </c>
      <c r="I470">
        <v>32</v>
      </c>
    </row>
    <row r="471" spans="1:9" x14ac:dyDescent="0.25">
      <c r="A471" t="s">
        <v>427</v>
      </c>
      <c r="B471" s="1">
        <v>44961</v>
      </c>
      <c r="C471">
        <f>YEAR(yt_sports_channels_stats[[#This Row],[Start Date]])</f>
        <v>2023</v>
      </c>
      <c r="D471" s="1" t="str">
        <f>IF(YEAR(yt_sports_channels_stats[[#This Row],[Start Date]])&lt;2011,"Old Gen",IF(AND(YEAR(yt_sports_channels_stats[[#This Row],[Start Date]]&gt;2011),YEAR(yt_sports_channels_stats[[#This Row],[Start Date]])&lt;2020),"Mid Gen","New Gen"))</f>
        <v>New Gen</v>
      </c>
      <c r="E471">
        <v>10</v>
      </c>
      <c r="F471">
        <v>1516</v>
      </c>
      <c r="G471">
        <f>yt_sports_channels_stats[[#This Row],[view_count]]/yt_sports_channels_stats[[#This Row],[video_count]]</f>
        <v>151.6</v>
      </c>
      <c r="H471" s="4">
        <f>yt_sports_channels_stats[[#This Row],[subscriber_count]]/yt_sports_channels_stats[[#This Row],[view_count]]</f>
        <v>1.3852242744063324E-2</v>
      </c>
      <c r="I471">
        <v>21</v>
      </c>
    </row>
    <row r="472" spans="1:9" x14ac:dyDescent="0.25">
      <c r="A472" t="s">
        <v>498</v>
      </c>
      <c r="B472" s="1">
        <v>44814</v>
      </c>
      <c r="C472">
        <f>YEAR(yt_sports_channels_stats[[#This Row],[Start Date]])</f>
        <v>2022</v>
      </c>
      <c r="D472" s="1" t="str">
        <f>IF(YEAR(yt_sports_channels_stats[[#This Row],[Start Date]])&lt;2011,"Old Gen",IF(AND(YEAR(yt_sports_channels_stats[[#This Row],[Start Date]]&gt;2011),YEAR(yt_sports_channels_stats[[#This Row],[Start Date]])&lt;2020),"Mid Gen","New Gen"))</f>
        <v>New Gen</v>
      </c>
      <c r="E472">
        <v>3</v>
      </c>
      <c r="F472">
        <v>11</v>
      </c>
      <c r="G472">
        <f>yt_sports_channels_stats[[#This Row],[view_count]]/yt_sports_channels_stats[[#This Row],[video_count]]</f>
        <v>3.6666666666666665</v>
      </c>
      <c r="H472" s="4">
        <f>yt_sports_channels_stats[[#This Row],[subscriber_count]]/yt_sports_channels_stats[[#This Row],[view_count]]</f>
        <v>0</v>
      </c>
      <c r="I472">
        <v>0</v>
      </c>
    </row>
    <row r="473" spans="1:9" x14ac:dyDescent="0.25">
      <c r="A473" t="s">
        <v>428</v>
      </c>
      <c r="B473" s="1">
        <v>44710</v>
      </c>
      <c r="C473">
        <f>YEAR(yt_sports_channels_stats[[#This Row],[Start Date]])</f>
        <v>2022</v>
      </c>
      <c r="D473" s="1" t="str">
        <f>IF(YEAR(yt_sports_channels_stats[[#This Row],[Start Date]])&lt;2011,"Old Gen",IF(AND(YEAR(yt_sports_channels_stats[[#This Row],[Start Date]]&gt;2011),YEAR(yt_sports_channels_stats[[#This Row],[Start Date]])&lt;2020),"Mid Gen","New Gen"))</f>
        <v>New Gen</v>
      </c>
      <c r="E473">
        <v>11</v>
      </c>
      <c r="F473">
        <v>101738</v>
      </c>
      <c r="G473">
        <f>yt_sports_channels_stats[[#This Row],[view_count]]/yt_sports_channels_stats[[#This Row],[video_count]]</f>
        <v>9248.9090909090901</v>
      </c>
      <c r="H473" s="4">
        <f>yt_sports_channels_stats[[#This Row],[subscriber_count]]/yt_sports_channels_stats[[#This Row],[view_count]]</f>
        <v>4.9440720281507403E-3</v>
      </c>
      <c r="I473">
        <v>503</v>
      </c>
    </row>
    <row r="474" spans="1:9" x14ac:dyDescent="0.25">
      <c r="A474" t="s">
        <v>429</v>
      </c>
      <c r="B474" s="1">
        <v>43975</v>
      </c>
      <c r="C474">
        <f>YEAR(yt_sports_channels_stats[[#This Row],[Start Date]])</f>
        <v>2020</v>
      </c>
      <c r="D474" s="1" t="str">
        <f>IF(YEAR(yt_sports_channels_stats[[#This Row],[Start Date]])&lt;2011,"Old Gen",IF(AND(YEAR(yt_sports_channels_stats[[#This Row],[Start Date]]&gt;2011),YEAR(yt_sports_channels_stats[[#This Row],[Start Date]])&lt;2020),"Mid Gen","New Gen"))</f>
        <v>New Gen</v>
      </c>
      <c r="E474">
        <v>10</v>
      </c>
      <c r="F474">
        <v>406</v>
      </c>
      <c r="G474">
        <f>yt_sports_channels_stats[[#This Row],[view_count]]/yt_sports_channels_stats[[#This Row],[video_count]]</f>
        <v>40.6</v>
      </c>
      <c r="H474" s="4">
        <f>yt_sports_channels_stats[[#This Row],[subscriber_count]]/yt_sports_channels_stats[[#This Row],[view_count]]</f>
        <v>0</v>
      </c>
      <c r="I474">
        <v>0</v>
      </c>
    </row>
    <row r="475" spans="1:9" x14ac:dyDescent="0.25">
      <c r="A475" t="s">
        <v>430</v>
      </c>
      <c r="B475" s="1">
        <v>44181</v>
      </c>
      <c r="C475">
        <f>YEAR(yt_sports_channels_stats[[#This Row],[Start Date]])</f>
        <v>2020</v>
      </c>
      <c r="D475" s="1" t="str">
        <f>IF(YEAR(yt_sports_channels_stats[[#This Row],[Start Date]])&lt;2011,"Old Gen",IF(AND(YEAR(yt_sports_channels_stats[[#This Row],[Start Date]]&gt;2011),YEAR(yt_sports_channels_stats[[#This Row],[Start Date]])&lt;2020),"Mid Gen","New Gen"))</f>
        <v>New Gen</v>
      </c>
      <c r="E475">
        <v>60</v>
      </c>
      <c r="F475">
        <v>14275</v>
      </c>
      <c r="G475">
        <f>yt_sports_channels_stats[[#This Row],[view_count]]/yt_sports_channels_stats[[#This Row],[video_count]]</f>
        <v>237.91666666666666</v>
      </c>
      <c r="H475" s="4">
        <f>yt_sports_channels_stats[[#This Row],[subscriber_count]]/yt_sports_channels_stats[[#This Row],[view_count]]</f>
        <v>1.0577933450087566E-2</v>
      </c>
      <c r="I475">
        <v>151</v>
      </c>
    </row>
    <row r="476" spans="1:9" x14ac:dyDescent="0.25">
      <c r="A476" t="s">
        <v>431</v>
      </c>
      <c r="B476" s="1">
        <v>44139</v>
      </c>
      <c r="C476">
        <f>YEAR(yt_sports_channels_stats[[#This Row],[Start Date]])</f>
        <v>2020</v>
      </c>
      <c r="D476" s="1" t="str">
        <f>IF(YEAR(yt_sports_channels_stats[[#This Row],[Start Date]])&lt;2011,"Old Gen",IF(AND(YEAR(yt_sports_channels_stats[[#This Row],[Start Date]]&gt;2011),YEAR(yt_sports_channels_stats[[#This Row],[Start Date]])&lt;2020),"Mid Gen","New Gen"))</f>
        <v>New Gen</v>
      </c>
      <c r="E476">
        <v>858</v>
      </c>
      <c r="F476">
        <v>758633</v>
      </c>
      <c r="G476">
        <f>yt_sports_channels_stats[[#This Row],[view_count]]/yt_sports_channels_stats[[#This Row],[video_count]]</f>
        <v>884.18764568764573</v>
      </c>
      <c r="H476" s="4">
        <f>yt_sports_channels_stats[[#This Row],[subscriber_count]]/yt_sports_channels_stats[[#This Row],[view_count]]</f>
        <v>1.0637554654226748E-3</v>
      </c>
      <c r="I476">
        <v>807</v>
      </c>
    </row>
    <row r="477" spans="1:9" x14ac:dyDescent="0.25">
      <c r="A477" t="s">
        <v>432</v>
      </c>
      <c r="B477" s="1">
        <v>42447</v>
      </c>
      <c r="C477">
        <f>YEAR(yt_sports_channels_stats[[#This Row],[Start Date]])</f>
        <v>2016</v>
      </c>
      <c r="D477" s="1" t="str">
        <f>IF(YEAR(yt_sports_channels_stats[[#This Row],[Start Date]])&lt;2011,"Old Gen",IF(AND(YEAR(yt_sports_channels_stats[[#This Row],[Start Date]]&gt;2011),YEAR(yt_sports_channels_stats[[#This Row],[Start Date]])&lt;2020),"Mid Gen","New Gen"))</f>
        <v>Mid Gen</v>
      </c>
      <c r="E477">
        <v>4</v>
      </c>
      <c r="F477">
        <v>683</v>
      </c>
      <c r="G477">
        <f>yt_sports_channels_stats[[#This Row],[view_count]]/yt_sports_channels_stats[[#This Row],[video_count]]</f>
        <v>170.75</v>
      </c>
      <c r="H477" s="4">
        <f>yt_sports_channels_stats[[#This Row],[subscriber_count]]/yt_sports_channels_stats[[#This Row],[view_count]]</f>
        <v>3.074670571010249E-2</v>
      </c>
      <c r="I477">
        <v>21</v>
      </c>
    </row>
    <row r="478" spans="1:9" x14ac:dyDescent="0.25">
      <c r="A478" t="s">
        <v>433</v>
      </c>
      <c r="B478" s="1">
        <v>45171</v>
      </c>
      <c r="C478">
        <f>YEAR(yt_sports_channels_stats[[#This Row],[Start Date]])</f>
        <v>2023</v>
      </c>
      <c r="D478" s="1" t="str">
        <f>IF(YEAR(yt_sports_channels_stats[[#This Row],[Start Date]])&lt;2011,"Old Gen",IF(AND(YEAR(yt_sports_channels_stats[[#This Row],[Start Date]]&gt;2011),YEAR(yt_sports_channels_stats[[#This Row],[Start Date]])&lt;2020),"Mid Gen","New Gen"))</f>
        <v>New Gen</v>
      </c>
      <c r="E478">
        <v>1</v>
      </c>
      <c r="F478">
        <v>1</v>
      </c>
      <c r="G478">
        <f>yt_sports_channels_stats[[#This Row],[view_count]]/yt_sports_channels_stats[[#This Row],[video_count]]</f>
        <v>1</v>
      </c>
      <c r="H478" s="4">
        <f>yt_sports_channels_stats[[#This Row],[subscriber_count]]/yt_sports_channels_stats[[#This Row],[view_count]]</f>
        <v>0</v>
      </c>
      <c r="I478">
        <v>0</v>
      </c>
    </row>
    <row r="479" spans="1:9" x14ac:dyDescent="0.25">
      <c r="A479" t="s">
        <v>434</v>
      </c>
      <c r="B479" s="1">
        <v>44496</v>
      </c>
      <c r="C479">
        <f>YEAR(yt_sports_channels_stats[[#This Row],[Start Date]])</f>
        <v>2021</v>
      </c>
      <c r="D479" s="1" t="str">
        <f>IF(YEAR(yt_sports_channels_stats[[#This Row],[Start Date]])&lt;2011,"Old Gen",IF(AND(YEAR(yt_sports_channels_stats[[#This Row],[Start Date]]&gt;2011),YEAR(yt_sports_channels_stats[[#This Row],[Start Date]])&lt;2020),"Mid Gen","New Gen"))</f>
        <v>New Gen</v>
      </c>
      <c r="E479">
        <v>58</v>
      </c>
      <c r="F479">
        <v>68570</v>
      </c>
      <c r="G479">
        <f>yt_sports_channels_stats[[#This Row],[view_count]]/yt_sports_channels_stats[[#This Row],[video_count]]</f>
        <v>1182.2413793103449</v>
      </c>
      <c r="H479" s="4">
        <f>yt_sports_channels_stats[[#This Row],[subscriber_count]]/yt_sports_channels_stats[[#This Row],[view_count]]</f>
        <v>1.4437800787516406E-3</v>
      </c>
      <c r="I479">
        <v>99</v>
      </c>
    </row>
    <row r="480" spans="1:9" x14ac:dyDescent="0.25">
      <c r="A480" t="s">
        <v>431</v>
      </c>
      <c r="B480" s="1">
        <v>44139</v>
      </c>
      <c r="C480">
        <f>YEAR(yt_sports_channels_stats[[#This Row],[Start Date]])</f>
        <v>2020</v>
      </c>
      <c r="D480" s="1" t="str">
        <f>IF(YEAR(yt_sports_channels_stats[[#This Row],[Start Date]])&lt;2011,"Old Gen",IF(AND(YEAR(yt_sports_channels_stats[[#This Row],[Start Date]]&gt;2011),YEAR(yt_sports_channels_stats[[#This Row],[Start Date]])&lt;2020),"Mid Gen","New Gen"))</f>
        <v>New Gen</v>
      </c>
      <c r="E480">
        <v>858</v>
      </c>
      <c r="F480">
        <v>758633</v>
      </c>
      <c r="G480">
        <f>yt_sports_channels_stats[[#This Row],[view_count]]/yt_sports_channels_stats[[#This Row],[video_count]]</f>
        <v>884.18764568764573</v>
      </c>
      <c r="H480" s="4">
        <f>yt_sports_channels_stats[[#This Row],[subscriber_count]]/yt_sports_channels_stats[[#This Row],[view_count]]</f>
        <v>1.0637554654226748E-3</v>
      </c>
      <c r="I480">
        <v>807</v>
      </c>
    </row>
    <row r="481" spans="1:9" x14ac:dyDescent="0.25">
      <c r="A481" t="s">
        <v>432</v>
      </c>
      <c r="B481" s="1">
        <v>42447</v>
      </c>
      <c r="C481">
        <f>YEAR(yt_sports_channels_stats[[#This Row],[Start Date]])</f>
        <v>2016</v>
      </c>
      <c r="D481" s="1" t="str">
        <f>IF(YEAR(yt_sports_channels_stats[[#This Row],[Start Date]])&lt;2011,"Old Gen",IF(AND(YEAR(yt_sports_channels_stats[[#This Row],[Start Date]]&gt;2011),YEAR(yt_sports_channels_stats[[#This Row],[Start Date]])&lt;2020),"Mid Gen","New Gen"))</f>
        <v>Mid Gen</v>
      </c>
      <c r="E481">
        <v>4</v>
      </c>
      <c r="F481">
        <v>683</v>
      </c>
      <c r="G481">
        <f>yt_sports_channels_stats[[#This Row],[view_count]]/yt_sports_channels_stats[[#This Row],[video_count]]</f>
        <v>170.75</v>
      </c>
      <c r="H481" s="4">
        <f>yt_sports_channels_stats[[#This Row],[subscriber_count]]/yt_sports_channels_stats[[#This Row],[view_count]]</f>
        <v>3.074670571010249E-2</v>
      </c>
      <c r="I481">
        <v>21</v>
      </c>
    </row>
    <row r="482" spans="1:9" x14ac:dyDescent="0.25">
      <c r="A482" t="s">
        <v>433</v>
      </c>
      <c r="B482" s="1">
        <v>45171</v>
      </c>
      <c r="C482">
        <f>YEAR(yt_sports_channels_stats[[#This Row],[Start Date]])</f>
        <v>2023</v>
      </c>
      <c r="D482" s="1" t="str">
        <f>IF(YEAR(yt_sports_channels_stats[[#This Row],[Start Date]])&lt;2011,"Old Gen",IF(AND(YEAR(yt_sports_channels_stats[[#This Row],[Start Date]]&gt;2011),YEAR(yt_sports_channels_stats[[#This Row],[Start Date]])&lt;2020),"Mid Gen","New Gen"))</f>
        <v>New Gen</v>
      </c>
      <c r="E482">
        <v>1</v>
      </c>
      <c r="F482">
        <v>1</v>
      </c>
      <c r="G482">
        <f>yt_sports_channels_stats[[#This Row],[view_count]]/yt_sports_channels_stats[[#This Row],[video_count]]</f>
        <v>1</v>
      </c>
      <c r="H482" s="4">
        <f>yt_sports_channels_stats[[#This Row],[subscriber_count]]/yt_sports_channels_stats[[#This Row],[view_count]]</f>
        <v>0</v>
      </c>
      <c r="I482">
        <v>0</v>
      </c>
    </row>
    <row r="483" spans="1:9" x14ac:dyDescent="0.25">
      <c r="A483" t="s">
        <v>434</v>
      </c>
      <c r="B483" s="1">
        <v>44496</v>
      </c>
      <c r="C483">
        <f>YEAR(yt_sports_channels_stats[[#This Row],[Start Date]])</f>
        <v>2021</v>
      </c>
      <c r="D483" s="1" t="str">
        <f>IF(YEAR(yt_sports_channels_stats[[#This Row],[Start Date]])&lt;2011,"Old Gen",IF(AND(YEAR(yt_sports_channels_stats[[#This Row],[Start Date]]&gt;2011),YEAR(yt_sports_channels_stats[[#This Row],[Start Date]])&lt;2020),"Mid Gen","New Gen"))</f>
        <v>New Gen</v>
      </c>
      <c r="E483">
        <v>58</v>
      </c>
      <c r="F483">
        <v>68570</v>
      </c>
      <c r="G483">
        <f>yt_sports_channels_stats[[#This Row],[view_count]]/yt_sports_channels_stats[[#This Row],[video_count]]</f>
        <v>1182.2413793103449</v>
      </c>
      <c r="H483" s="4">
        <f>yt_sports_channels_stats[[#This Row],[subscriber_count]]/yt_sports_channels_stats[[#This Row],[view_count]]</f>
        <v>1.4437800787516406E-3</v>
      </c>
      <c r="I483">
        <v>99</v>
      </c>
    </row>
    <row r="484" spans="1:9" x14ac:dyDescent="0.25">
      <c r="A484" t="s">
        <v>14</v>
      </c>
      <c r="B484" s="1">
        <v>44917</v>
      </c>
      <c r="C484">
        <f>YEAR(yt_sports_channels_stats[[#This Row],[Start Date]])</f>
        <v>2022</v>
      </c>
      <c r="D484" s="1" t="str">
        <f>IF(YEAR(yt_sports_channels_stats[[#This Row],[Start Date]])&lt;2011,"Old Gen",IF(AND(YEAR(yt_sports_channels_stats[[#This Row],[Start Date]]&gt;2011),YEAR(yt_sports_channels_stats[[#This Row],[Start Date]])&lt;2020),"Mid Gen","New Gen"))</f>
        <v>New Gen</v>
      </c>
      <c r="E484">
        <v>2</v>
      </c>
      <c r="F484">
        <v>1235</v>
      </c>
      <c r="G484">
        <f>yt_sports_channels_stats[[#This Row],[view_count]]/yt_sports_channels_stats[[#This Row],[video_count]]</f>
        <v>617.5</v>
      </c>
      <c r="H484" s="4">
        <f>yt_sports_channels_stats[[#This Row],[subscriber_count]]/yt_sports_channels_stats[[#This Row],[view_count]]</f>
        <v>4.8582995951417006E-3</v>
      </c>
      <c r="I484">
        <v>6</v>
      </c>
    </row>
    <row r="485" spans="1:9" x14ac:dyDescent="0.25">
      <c r="A485" t="s">
        <v>435</v>
      </c>
      <c r="B485" s="1">
        <v>42744</v>
      </c>
      <c r="C485">
        <f>YEAR(yt_sports_channels_stats[[#This Row],[Start Date]])</f>
        <v>2017</v>
      </c>
      <c r="D485" s="1" t="str">
        <f>IF(YEAR(yt_sports_channels_stats[[#This Row],[Start Date]])&lt;2011,"Old Gen",IF(AND(YEAR(yt_sports_channels_stats[[#This Row],[Start Date]]&gt;2011),YEAR(yt_sports_channels_stats[[#This Row],[Start Date]])&lt;2020),"Mid Gen","New Gen"))</f>
        <v>Mid Gen</v>
      </c>
      <c r="E485">
        <v>12</v>
      </c>
      <c r="F485">
        <v>13702</v>
      </c>
      <c r="G485">
        <f>yt_sports_channels_stats[[#This Row],[view_count]]/yt_sports_channels_stats[[#This Row],[video_count]]</f>
        <v>1141.8333333333333</v>
      </c>
      <c r="H485" s="4">
        <f>yt_sports_channels_stats[[#This Row],[subscriber_count]]/yt_sports_channels_stats[[#This Row],[view_count]]</f>
        <v>1.9048314114727776E-2</v>
      </c>
      <c r="I485">
        <v>261</v>
      </c>
    </row>
    <row r="486" spans="1:9" x14ac:dyDescent="0.25">
      <c r="A486" t="s">
        <v>436</v>
      </c>
      <c r="B486" s="1">
        <v>45328</v>
      </c>
      <c r="C486">
        <f>YEAR(yt_sports_channels_stats[[#This Row],[Start Date]])</f>
        <v>2024</v>
      </c>
      <c r="D486" s="1" t="str">
        <f>IF(YEAR(yt_sports_channels_stats[[#This Row],[Start Date]])&lt;2011,"Old Gen",IF(AND(YEAR(yt_sports_channels_stats[[#This Row],[Start Date]]&gt;2011),YEAR(yt_sports_channels_stats[[#This Row],[Start Date]])&lt;2020),"Mid Gen","New Gen"))</f>
        <v>New Gen</v>
      </c>
      <c r="E486">
        <v>3</v>
      </c>
      <c r="F486">
        <v>62</v>
      </c>
      <c r="G486">
        <f>yt_sports_channels_stats[[#This Row],[view_count]]/yt_sports_channels_stats[[#This Row],[video_count]]</f>
        <v>20.666666666666668</v>
      </c>
      <c r="H486" s="4">
        <f>yt_sports_channels_stats[[#This Row],[subscriber_count]]/yt_sports_channels_stats[[#This Row],[view_count]]</f>
        <v>0</v>
      </c>
      <c r="I486">
        <v>0</v>
      </c>
    </row>
    <row r="487" spans="1:9" x14ac:dyDescent="0.25">
      <c r="A487" t="s">
        <v>437</v>
      </c>
      <c r="B487" s="1">
        <v>43397</v>
      </c>
      <c r="C487">
        <f>YEAR(yt_sports_channels_stats[[#This Row],[Start Date]])</f>
        <v>2018</v>
      </c>
      <c r="D487" s="1" t="str">
        <f>IF(YEAR(yt_sports_channels_stats[[#This Row],[Start Date]])&lt;2011,"Old Gen",IF(AND(YEAR(yt_sports_channels_stats[[#This Row],[Start Date]]&gt;2011),YEAR(yt_sports_channels_stats[[#This Row],[Start Date]])&lt;2020),"Mid Gen","New Gen"))</f>
        <v>Mid Gen</v>
      </c>
      <c r="E487">
        <v>11</v>
      </c>
      <c r="F487">
        <v>340</v>
      </c>
      <c r="G487">
        <f>yt_sports_channels_stats[[#This Row],[view_count]]/yt_sports_channels_stats[[#This Row],[video_count]]</f>
        <v>30.90909090909091</v>
      </c>
      <c r="H487" s="4">
        <f>yt_sports_channels_stats[[#This Row],[subscriber_count]]/yt_sports_channels_stats[[#This Row],[view_count]]</f>
        <v>2.9411764705882353E-3</v>
      </c>
      <c r="I487">
        <v>1</v>
      </c>
    </row>
    <row r="488" spans="1:9" x14ac:dyDescent="0.25">
      <c r="A488" t="s">
        <v>438</v>
      </c>
      <c r="B488" s="1">
        <v>45012</v>
      </c>
      <c r="C488">
        <f>YEAR(yt_sports_channels_stats[[#This Row],[Start Date]])</f>
        <v>2023</v>
      </c>
      <c r="D488" s="1" t="str">
        <f>IF(YEAR(yt_sports_channels_stats[[#This Row],[Start Date]])&lt;2011,"Old Gen",IF(AND(YEAR(yt_sports_channels_stats[[#This Row],[Start Date]]&gt;2011),YEAR(yt_sports_channels_stats[[#This Row],[Start Date]])&lt;2020),"Mid Gen","New Gen"))</f>
        <v>New Gen</v>
      </c>
      <c r="E488">
        <v>2</v>
      </c>
      <c r="F488">
        <v>192</v>
      </c>
      <c r="G488">
        <f>yt_sports_channels_stats[[#This Row],[view_count]]/yt_sports_channels_stats[[#This Row],[video_count]]</f>
        <v>96</v>
      </c>
      <c r="H488" s="4">
        <f>yt_sports_channels_stats[[#This Row],[subscriber_count]]/yt_sports_channels_stats[[#This Row],[view_count]]</f>
        <v>5.208333333333333E-3</v>
      </c>
      <c r="I488">
        <v>1</v>
      </c>
    </row>
    <row r="489" spans="1:9" x14ac:dyDescent="0.25">
      <c r="A489" t="s">
        <v>439</v>
      </c>
      <c r="B489" s="1">
        <v>44432</v>
      </c>
      <c r="C489">
        <f>YEAR(yt_sports_channels_stats[[#This Row],[Start Date]])</f>
        <v>2021</v>
      </c>
      <c r="D489" s="1" t="str">
        <f>IF(YEAR(yt_sports_channels_stats[[#This Row],[Start Date]])&lt;2011,"Old Gen",IF(AND(YEAR(yt_sports_channels_stats[[#This Row],[Start Date]]&gt;2011),YEAR(yt_sports_channels_stats[[#This Row],[Start Date]])&lt;2020),"Mid Gen","New Gen"))</f>
        <v>New Gen</v>
      </c>
      <c r="E489">
        <v>5</v>
      </c>
      <c r="F489">
        <v>2565</v>
      </c>
      <c r="G489">
        <f>yt_sports_channels_stats[[#This Row],[view_count]]/yt_sports_channels_stats[[#This Row],[video_count]]</f>
        <v>513</v>
      </c>
      <c r="H489" s="4">
        <f>yt_sports_channels_stats[[#This Row],[subscriber_count]]/yt_sports_channels_stats[[#This Row],[view_count]]</f>
        <v>4.2884990253411305E-3</v>
      </c>
      <c r="I489">
        <v>11</v>
      </c>
    </row>
    <row r="490" spans="1:9" x14ac:dyDescent="0.25">
      <c r="A490" t="s">
        <v>440</v>
      </c>
      <c r="B490" s="1">
        <v>45142</v>
      </c>
      <c r="C490">
        <f>YEAR(yt_sports_channels_stats[[#This Row],[Start Date]])</f>
        <v>2023</v>
      </c>
      <c r="D490" s="1" t="str">
        <f>IF(YEAR(yt_sports_channels_stats[[#This Row],[Start Date]])&lt;2011,"Old Gen",IF(AND(YEAR(yt_sports_channels_stats[[#This Row],[Start Date]]&gt;2011),YEAR(yt_sports_channels_stats[[#This Row],[Start Date]])&lt;2020),"Mid Gen","New Gen"))</f>
        <v>New Gen</v>
      </c>
      <c r="E490">
        <v>1</v>
      </c>
      <c r="F490">
        <v>2</v>
      </c>
      <c r="G490">
        <f>yt_sports_channels_stats[[#This Row],[view_count]]/yt_sports_channels_stats[[#This Row],[video_count]]</f>
        <v>2</v>
      </c>
      <c r="H490" s="4">
        <f>yt_sports_channels_stats[[#This Row],[subscriber_count]]/yt_sports_channels_stats[[#This Row],[view_count]]</f>
        <v>0</v>
      </c>
      <c r="I490">
        <v>0</v>
      </c>
    </row>
    <row r="491" spans="1:9" x14ac:dyDescent="0.25">
      <c r="A491" t="s">
        <v>441</v>
      </c>
      <c r="B491" s="1">
        <v>44994</v>
      </c>
      <c r="C491">
        <f>YEAR(yt_sports_channels_stats[[#This Row],[Start Date]])</f>
        <v>2023</v>
      </c>
      <c r="D491" s="1" t="str">
        <f>IF(YEAR(yt_sports_channels_stats[[#This Row],[Start Date]])&lt;2011,"Old Gen",IF(AND(YEAR(yt_sports_channels_stats[[#This Row],[Start Date]]&gt;2011),YEAR(yt_sports_channels_stats[[#This Row],[Start Date]])&lt;2020),"Mid Gen","New Gen"))</f>
        <v>New Gen</v>
      </c>
      <c r="E491">
        <v>1</v>
      </c>
      <c r="F491">
        <v>85</v>
      </c>
      <c r="G491">
        <f>yt_sports_channels_stats[[#This Row],[view_count]]/yt_sports_channels_stats[[#This Row],[video_count]]</f>
        <v>85</v>
      </c>
      <c r="H491" s="4">
        <f>yt_sports_channels_stats[[#This Row],[subscriber_count]]/yt_sports_channels_stats[[#This Row],[view_count]]</f>
        <v>0</v>
      </c>
      <c r="I491">
        <v>0</v>
      </c>
    </row>
    <row r="492" spans="1:9" x14ac:dyDescent="0.25">
      <c r="A492" t="s">
        <v>442</v>
      </c>
      <c r="B492" s="1">
        <v>43939</v>
      </c>
      <c r="C492">
        <f>YEAR(yt_sports_channels_stats[[#This Row],[Start Date]])</f>
        <v>2020</v>
      </c>
      <c r="D492" s="1" t="str">
        <f>IF(YEAR(yt_sports_channels_stats[[#This Row],[Start Date]])&lt;2011,"Old Gen",IF(AND(YEAR(yt_sports_channels_stats[[#This Row],[Start Date]]&gt;2011),YEAR(yt_sports_channels_stats[[#This Row],[Start Date]])&lt;2020),"Mid Gen","New Gen"))</f>
        <v>New Gen</v>
      </c>
      <c r="E492">
        <v>2</v>
      </c>
      <c r="F492">
        <v>146</v>
      </c>
      <c r="G492">
        <f>yt_sports_channels_stats[[#This Row],[view_count]]/yt_sports_channels_stats[[#This Row],[video_count]]</f>
        <v>73</v>
      </c>
      <c r="H492" s="4">
        <f>yt_sports_channels_stats[[#This Row],[subscriber_count]]/yt_sports_channels_stats[[#This Row],[view_count]]</f>
        <v>4.1095890410958902E-2</v>
      </c>
      <c r="I492">
        <v>6</v>
      </c>
    </row>
    <row r="493" spans="1:9" x14ac:dyDescent="0.25">
      <c r="A493" t="s">
        <v>443</v>
      </c>
      <c r="B493" s="1">
        <v>45215</v>
      </c>
      <c r="C493">
        <f>YEAR(yt_sports_channels_stats[[#This Row],[Start Date]])</f>
        <v>2023</v>
      </c>
      <c r="D493" s="1" t="str">
        <f>IF(YEAR(yt_sports_channels_stats[[#This Row],[Start Date]])&lt;2011,"Old Gen",IF(AND(YEAR(yt_sports_channels_stats[[#This Row],[Start Date]]&gt;2011),YEAR(yt_sports_channels_stats[[#This Row],[Start Date]])&lt;2020),"Mid Gen","New Gen"))</f>
        <v>New Gen</v>
      </c>
      <c r="E493">
        <v>1</v>
      </c>
      <c r="F493">
        <v>3</v>
      </c>
      <c r="G493">
        <f>yt_sports_channels_stats[[#This Row],[view_count]]/yt_sports_channels_stats[[#This Row],[video_count]]</f>
        <v>3</v>
      </c>
      <c r="H493" s="4">
        <f>yt_sports_channels_stats[[#This Row],[subscriber_count]]/yt_sports_channels_stats[[#This Row],[view_count]]</f>
        <v>0.66666666666666663</v>
      </c>
      <c r="I493">
        <v>2</v>
      </c>
    </row>
    <row r="494" spans="1:9" x14ac:dyDescent="0.25">
      <c r="A494" t="s">
        <v>444</v>
      </c>
      <c r="B494" s="1">
        <v>45027</v>
      </c>
      <c r="C494">
        <f>YEAR(yt_sports_channels_stats[[#This Row],[Start Date]])</f>
        <v>2023</v>
      </c>
      <c r="D494" s="1" t="str">
        <f>IF(YEAR(yt_sports_channels_stats[[#This Row],[Start Date]])&lt;2011,"Old Gen",IF(AND(YEAR(yt_sports_channels_stats[[#This Row],[Start Date]]&gt;2011),YEAR(yt_sports_channels_stats[[#This Row],[Start Date]])&lt;2020),"Mid Gen","New Gen"))</f>
        <v>New Gen</v>
      </c>
      <c r="E494">
        <v>6</v>
      </c>
      <c r="F494">
        <v>39553</v>
      </c>
      <c r="G494">
        <f>yt_sports_channels_stats[[#This Row],[view_count]]/yt_sports_channels_stats[[#This Row],[video_count]]</f>
        <v>6592.166666666667</v>
      </c>
      <c r="H494" s="4">
        <f>yt_sports_channels_stats[[#This Row],[subscriber_count]]/yt_sports_channels_stats[[#This Row],[view_count]]</f>
        <v>6.5734583975931031E-4</v>
      </c>
      <c r="I494">
        <v>26</v>
      </c>
    </row>
    <row r="495" spans="1:9" x14ac:dyDescent="0.25">
      <c r="A495" t="s">
        <v>445</v>
      </c>
      <c r="B495" s="1">
        <v>44284</v>
      </c>
      <c r="C495">
        <f>YEAR(yt_sports_channels_stats[[#This Row],[Start Date]])</f>
        <v>2021</v>
      </c>
      <c r="D495" s="1" t="str">
        <f>IF(YEAR(yt_sports_channels_stats[[#This Row],[Start Date]])&lt;2011,"Old Gen",IF(AND(YEAR(yt_sports_channels_stats[[#This Row],[Start Date]]&gt;2011),YEAR(yt_sports_channels_stats[[#This Row],[Start Date]])&lt;2020),"Mid Gen","New Gen"))</f>
        <v>New Gen</v>
      </c>
      <c r="E495">
        <v>4</v>
      </c>
      <c r="F495">
        <v>488</v>
      </c>
      <c r="G495">
        <f>yt_sports_channels_stats[[#This Row],[view_count]]/yt_sports_channels_stats[[#This Row],[video_count]]</f>
        <v>122</v>
      </c>
      <c r="H495" s="4">
        <f>yt_sports_channels_stats[[#This Row],[subscriber_count]]/yt_sports_channels_stats[[#This Row],[view_count]]</f>
        <v>4.7131147540983603E-2</v>
      </c>
      <c r="I495">
        <v>23</v>
      </c>
    </row>
    <row r="496" spans="1:9" x14ac:dyDescent="0.25">
      <c r="A496" t="s">
        <v>446</v>
      </c>
      <c r="B496" s="1">
        <v>45137</v>
      </c>
      <c r="C496">
        <f>YEAR(yt_sports_channels_stats[[#This Row],[Start Date]])</f>
        <v>2023</v>
      </c>
      <c r="D496" s="1" t="str">
        <f>IF(YEAR(yt_sports_channels_stats[[#This Row],[Start Date]])&lt;2011,"Old Gen",IF(AND(YEAR(yt_sports_channels_stats[[#This Row],[Start Date]]&gt;2011),YEAR(yt_sports_channels_stats[[#This Row],[Start Date]])&lt;2020),"Mid Gen","New Gen"))</f>
        <v>New Gen</v>
      </c>
      <c r="E496">
        <v>8</v>
      </c>
      <c r="F496">
        <v>347</v>
      </c>
      <c r="G496">
        <f>yt_sports_channels_stats[[#This Row],[view_count]]/yt_sports_channels_stats[[#This Row],[video_count]]</f>
        <v>43.375</v>
      </c>
      <c r="H496" s="4">
        <f>yt_sports_channels_stats[[#This Row],[subscriber_count]]/yt_sports_channels_stats[[#This Row],[view_count]]</f>
        <v>0.58789625360230546</v>
      </c>
      <c r="I496">
        <v>204</v>
      </c>
    </row>
    <row r="497" spans="1:9" x14ac:dyDescent="0.25">
      <c r="A497" t="s">
        <v>447</v>
      </c>
      <c r="B497" s="1">
        <v>44867</v>
      </c>
      <c r="C497">
        <f>YEAR(yt_sports_channels_stats[[#This Row],[Start Date]])</f>
        <v>2022</v>
      </c>
      <c r="D497" s="1" t="str">
        <f>IF(YEAR(yt_sports_channels_stats[[#This Row],[Start Date]])&lt;2011,"Old Gen",IF(AND(YEAR(yt_sports_channels_stats[[#This Row],[Start Date]]&gt;2011),YEAR(yt_sports_channels_stats[[#This Row],[Start Date]])&lt;2020),"Mid Gen","New Gen"))</f>
        <v>New Gen</v>
      </c>
      <c r="E497">
        <v>9</v>
      </c>
      <c r="F497">
        <v>410</v>
      </c>
      <c r="G497">
        <f>yt_sports_channels_stats[[#This Row],[view_count]]/yt_sports_channels_stats[[#This Row],[video_count]]</f>
        <v>45.555555555555557</v>
      </c>
      <c r="H497" s="4">
        <f>yt_sports_channels_stats[[#This Row],[subscriber_count]]/yt_sports_channels_stats[[#This Row],[view_count]]</f>
        <v>7.3170731707317077E-3</v>
      </c>
      <c r="I497">
        <v>3</v>
      </c>
    </row>
    <row r="498" spans="1:9" x14ac:dyDescent="0.25">
      <c r="A498" t="s">
        <v>499</v>
      </c>
      <c r="B498" s="1">
        <v>44918</v>
      </c>
      <c r="C498">
        <f>YEAR(yt_sports_channels_stats[[#This Row],[Start Date]])</f>
        <v>2022</v>
      </c>
      <c r="D498" s="1" t="str">
        <f>IF(YEAR(yt_sports_channels_stats[[#This Row],[Start Date]])&lt;2011,"Old Gen",IF(AND(YEAR(yt_sports_channels_stats[[#This Row],[Start Date]]&gt;2011),YEAR(yt_sports_channels_stats[[#This Row],[Start Date]])&lt;2020),"Mid Gen","New Gen"))</f>
        <v>New Gen</v>
      </c>
      <c r="E498">
        <v>4</v>
      </c>
      <c r="F498">
        <v>47</v>
      </c>
      <c r="G498">
        <f>yt_sports_channels_stats[[#This Row],[view_count]]/yt_sports_channels_stats[[#This Row],[video_count]]</f>
        <v>11.75</v>
      </c>
      <c r="H498" s="4">
        <f>yt_sports_channels_stats[[#This Row],[subscriber_count]]/yt_sports_channels_stats[[#This Row],[view_count]]</f>
        <v>0.1702127659574468</v>
      </c>
      <c r="I498">
        <v>8</v>
      </c>
    </row>
    <row r="499" spans="1:9" x14ac:dyDescent="0.25">
      <c r="A499" t="s">
        <v>448</v>
      </c>
      <c r="B499" s="1">
        <v>45124</v>
      </c>
      <c r="C499">
        <f>YEAR(yt_sports_channels_stats[[#This Row],[Start Date]])</f>
        <v>2023</v>
      </c>
      <c r="D499" s="1" t="str">
        <f>IF(YEAR(yt_sports_channels_stats[[#This Row],[Start Date]])&lt;2011,"Old Gen",IF(AND(YEAR(yt_sports_channels_stats[[#This Row],[Start Date]]&gt;2011),YEAR(yt_sports_channels_stats[[#This Row],[Start Date]])&lt;2020),"Mid Gen","New Gen"))</f>
        <v>New Gen</v>
      </c>
      <c r="E499">
        <v>4</v>
      </c>
      <c r="F499">
        <v>232</v>
      </c>
      <c r="G499">
        <f>yt_sports_channels_stats[[#This Row],[view_count]]/yt_sports_channels_stats[[#This Row],[video_count]]</f>
        <v>58</v>
      </c>
      <c r="H499" s="4">
        <f>yt_sports_channels_stats[[#This Row],[subscriber_count]]/yt_sports_channels_stats[[#This Row],[view_count]]</f>
        <v>3.8793103448275863E-2</v>
      </c>
      <c r="I499">
        <v>9</v>
      </c>
    </row>
    <row r="500" spans="1:9" x14ac:dyDescent="0.25">
      <c r="A500" t="s">
        <v>449</v>
      </c>
      <c r="B500" s="1">
        <v>45090</v>
      </c>
      <c r="C500">
        <f>YEAR(yt_sports_channels_stats[[#This Row],[Start Date]])</f>
        <v>2023</v>
      </c>
      <c r="D500" s="1" t="str">
        <f>IF(YEAR(yt_sports_channels_stats[[#This Row],[Start Date]])&lt;2011,"Old Gen",IF(AND(YEAR(yt_sports_channels_stats[[#This Row],[Start Date]]&gt;2011),YEAR(yt_sports_channels_stats[[#This Row],[Start Date]])&lt;2020),"Mid Gen","New Gen"))</f>
        <v>New Gen</v>
      </c>
      <c r="E500">
        <v>18</v>
      </c>
      <c r="F500">
        <v>1075</v>
      </c>
      <c r="G500">
        <f>yt_sports_channels_stats[[#This Row],[view_count]]/yt_sports_channels_stats[[#This Row],[video_count]]</f>
        <v>59.722222222222221</v>
      </c>
      <c r="H500" s="4">
        <f>yt_sports_channels_stats[[#This Row],[subscriber_count]]/yt_sports_channels_stats[[#This Row],[view_count]]</f>
        <v>2.3255813953488372E-2</v>
      </c>
      <c r="I500">
        <v>25</v>
      </c>
    </row>
    <row r="501" spans="1:9" x14ac:dyDescent="0.25">
      <c r="A501" t="s">
        <v>450</v>
      </c>
      <c r="B501" s="1">
        <v>45225</v>
      </c>
      <c r="C501">
        <f>YEAR(yt_sports_channels_stats[[#This Row],[Start Date]])</f>
        <v>2023</v>
      </c>
      <c r="D501" s="1" t="str">
        <f>IF(YEAR(yt_sports_channels_stats[[#This Row],[Start Date]])&lt;2011,"Old Gen",IF(AND(YEAR(yt_sports_channels_stats[[#This Row],[Start Date]]&gt;2011),YEAR(yt_sports_channels_stats[[#This Row],[Start Date]])&lt;2020),"Mid Gen","New Gen"))</f>
        <v>New Gen</v>
      </c>
      <c r="E501">
        <v>2</v>
      </c>
      <c r="F501">
        <v>85</v>
      </c>
      <c r="G501">
        <f>yt_sports_channels_stats[[#This Row],[view_count]]/yt_sports_channels_stats[[#This Row],[video_count]]</f>
        <v>42.5</v>
      </c>
      <c r="H501" s="4">
        <f>yt_sports_channels_stats[[#This Row],[subscriber_count]]/yt_sports_channels_stats[[#This Row],[view_count]]</f>
        <v>0</v>
      </c>
      <c r="I501">
        <v>0</v>
      </c>
    </row>
    <row r="502" spans="1:9" x14ac:dyDescent="0.25">
      <c r="A502" t="s">
        <v>451</v>
      </c>
      <c r="B502" s="1">
        <v>44281</v>
      </c>
      <c r="C502">
        <f>YEAR(yt_sports_channels_stats[[#This Row],[Start Date]])</f>
        <v>2021</v>
      </c>
      <c r="D502" s="1" t="str">
        <f>IF(YEAR(yt_sports_channels_stats[[#This Row],[Start Date]])&lt;2011,"Old Gen",IF(AND(YEAR(yt_sports_channels_stats[[#This Row],[Start Date]]&gt;2011),YEAR(yt_sports_channels_stats[[#This Row],[Start Date]])&lt;2020),"Mid Gen","New Gen"))</f>
        <v>New Gen</v>
      </c>
      <c r="E502">
        <v>3</v>
      </c>
      <c r="F502">
        <v>36637</v>
      </c>
      <c r="G502">
        <f>yt_sports_channels_stats[[#This Row],[view_count]]/yt_sports_channels_stats[[#This Row],[video_count]]</f>
        <v>12212.333333333334</v>
      </c>
      <c r="H502" s="4">
        <f>yt_sports_channels_stats[[#This Row],[subscriber_count]]/yt_sports_channels_stats[[#This Row],[view_count]]</f>
        <v>8.1611485656576683E-3</v>
      </c>
      <c r="I502">
        <v>299</v>
      </c>
    </row>
    <row r="503" spans="1:9" x14ac:dyDescent="0.25">
      <c r="A503" t="s">
        <v>452</v>
      </c>
      <c r="B503" s="1">
        <v>45093</v>
      </c>
      <c r="C503">
        <f>YEAR(yt_sports_channels_stats[[#This Row],[Start Date]])</f>
        <v>2023</v>
      </c>
      <c r="D503" s="1" t="str">
        <f>IF(YEAR(yt_sports_channels_stats[[#This Row],[Start Date]])&lt;2011,"Old Gen",IF(AND(YEAR(yt_sports_channels_stats[[#This Row],[Start Date]]&gt;2011),YEAR(yt_sports_channels_stats[[#This Row],[Start Date]])&lt;2020),"Mid Gen","New Gen"))</f>
        <v>New Gen</v>
      </c>
      <c r="E503">
        <v>2</v>
      </c>
      <c r="F503">
        <v>1361</v>
      </c>
      <c r="G503">
        <f>yt_sports_channels_stats[[#This Row],[view_count]]/yt_sports_channels_stats[[#This Row],[video_count]]</f>
        <v>680.5</v>
      </c>
      <c r="H503" s="4">
        <f>yt_sports_channels_stats[[#This Row],[subscriber_count]]/yt_sports_channels_stats[[#This Row],[view_count]]</f>
        <v>2.9390154298310064E-3</v>
      </c>
      <c r="I503">
        <v>4</v>
      </c>
    </row>
    <row r="504" spans="1:9" x14ac:dyDescent="0.25">
      <c r="A504" t="s">
        <v>453</v>
      </c>
      <c r="B504" s="1">
        <v>45168</v>
      </c>
      <c r="C504">
        <f>YEAR(yt_sports_channels_stats[[#This Row],[Start Date]])</f>
        <v>2023</v>
      </c>
      <c r="D504" s="1" t="str">
        <f>IF(YEAR(yt_sports_channels_stats[[#This Row],[Start Date]])&lt;2011,"Old Gen",IF(AND(YEAR(yt_sports_channels_stats[[#This Row],[Start Date]]&gt;2011),YEAR(yt_sports_channels_stats[[#This Row],[Start Date]])&lt;2020),"Mid Gen","New Gen"))</f>
        <v>New Gen</v>
      </c>
      <c r="E504">
        <v>8</v>
      </c>
      <c r="F504">
        <v>95</v>
      </c>
      <c r="G504">
        <f>yt_sports_channels_stats[[#This Row],[view_count]]/yt_sports_channels_stats[[#This Row],[video_count]]</f>
        <v>11.875</v>
      </c>
      <c r="H504" s="4">
        <f>yt_sports_channels_stats[[#This Row],[subscriber_count]]/yt_sports_channels_stats[[#This Row],[view_count]]</f>
        <v>0.17894736842105263</v>
      </c>
      <c r="I504">
        <v>17</v>
      </c>
    </row>
    <row r="505" spans="1:9" x14ac:dyDescent="0.25">
      <c r="A505" t="s">
        <v>454</v>
      </c>
      <c r="B505" s="1">
        <v>45275</v>
      </c>
      <c r="C505">
        <f>YEAR(yt_sports_channels_stats[[#This Row],[Start Date]])</f>
        <v>2023</v>
      </c>
      <c r="D505" s="1" t="str">
        <f>IF(YEAR(yt_sports_channels_stats[[#This Row],[Start Date]])&lt;2011,"Old Gen",IF(AND(YEAR(yt_sports_channels_stats[[#This Row],[Start Date]]&gt;2011),YEAR(yt_sports_channels_stats[[#This Row],[Start Date]])&lt;2020),"Mid Gen","New Gen"))</f>
        <v>New Gen</v>
      </c>
      <c r="E505">
        <v>16</v>
      </c>
      <c r="F505">
        <v>411</v>
      </c>
      <c r="G505">
        <f>yt_sports_channels_stats[[#This Row],[view_count]]/yt_sports_channels_stats[[#This Row],[video_count]]</f>
        <v>25.6875</v>
      </c>
      <c r="H505" s="4">
        <f>yt_sports_channels_stats[[#This Row],[subscriber_count]]/yt_sports_channels_stats[[#This Row],[view_count]]</f>
        <v>4.8661800486618006E-3</v>
      </c>
      <c r="I505">
        <v>2</v>
      </c>
    </row>
    <row r="506" spans="1:9" x14ac:dyDescent="0.25">
      <c r="A506" t="s">
        <v>145</v>
      </c>
      <c r="B506" s="1">
        <v>45276</v>
      </c>
      <c r="C506">
        <f>YEAR(yt_sports_channels_stats[[#This Row],[Start Date]])</f>
        <v>2023</v>
      </c>
      <c r="D506" s="1" t="str">
        <f>IF(YEAR(yt_sports_channels_stats[[#This Row],[Start Date]])&lt;2011,"Old Gen",IF(AND(YEAR(yt_sports_channels_stats[[#This Row],[Start Date]]&gt;2011),YEAR(yt_sports_channels_stats[[#This Row],[Start Date]])&lt;2020),"Mid Gen","New Gen"))</f>
        <v>New Gen</v>
      </c>
      <c r="E506">
        <v>10</v>
      </c>
      <c r="F506">
        <v>416</v>
      </c>
      <c r="G506">
        <f>yt_sports_channels_stats[[#This Row],[view_count]]/yt_sports_channels_stats[[#This Row],[video_count]]</f>
        <v>41.6</v>
      </c>
      <c r="H506" s="4">
        <f>yt_sports_channels_stats[[#This Row],[subscriber_count]]/yt_sports_channels_stats[[#This Row],[view_count]]</f>
        <v>4.807692307692308E-3</v>
      </c>
      <c r="I506">
        <v>2</v>
      </c>
    </row>
    <row r="507" spans="1:9" x14ac:dyDescent="0.25">
      <c r="A507" t="s">
        <v>455</v>
      </c>
      <c r="B507" s="1">
        <v>45193</v>
      </c>
      <c r="C507">
        <f>YEAR(yt_sports_channels_stats[[#This Row],[Start Date]])</f>
        <v>2023</v>
      </c>
      <c r="D507" s="1" t="str">
        <f>IF(YEAR(yt_sports_channels_stats[[#This Row],[Start Date]])&lt;2011,"Old Gen",IF(AND(YEAR(yt_sports_channels_stats[[#This Row],[Start Date]]&gt;2011),YEAR(yt_sports_channels_stats[[#This Row],[Start Date]])&lt;2020),"Mid Gen","New Gen"))</f>
        <v>New Gen</v>
      </c>
      <c r="E507">
        <v>4</v>
      </c>
      <c r="F507">
        <v>8</v>
      </c>
      <c r="G507">
        <f>yt_sports_channels_stats[[#This Row],[view_count]]/yt_sports_channels_stats[[#This Row],[video_count]]</f>
        <v>2</v>
      </c>
      <c r="H507" s="4">
        <f>yt_sports_channels_stats[[#This Row],[subscriber_count]]/yt_sports_channels_stats[[#This Row],[view_count]]</f>
        <v>0</v>
      </c>
      <c r="I507">
        <v>0</v>
      </c>
    </row>
    <row r="508" spans="1:9" x14ac:dyDescent="0.25">
      <c r="A508" t="s">
        <v>456</v>
      </c>
      <c r="B508" s="1">
        <v>45065</v>
      </c>
      <c r="C508">
        <f>YEAR(yt_sports_channels_stats[[#This Row],[Start Date]])</f>
        <v>2023</v>
      </c>
      <c r="D508" s="1" t="str">
        <f>IF(YEAR(yt_sports_channels_stats[[#This Row],[Start Date]])&lt;2011,"Old Gen",IF(AND(YEAR(yt_sports_channels_stats[[#This Row],[Start Date]]&gt;2011),YEAR(yt_sports_channels_stats[[#This Row],[Start Date]])&lt;2020),"Mid Gen","New Gen"))</f>
        <v>New Gen</v>
      </c>
      <c r="E508">
        <v>3</v>
      </c>
      <c r="F508">
        <v>3266</v>
      </c>
      <c r="G508">
        <f>yt_sports_channels_stats[[#This Row],[view_count]]/yt_sports_channels_stats[[#This Row],[video_count]]</f>
        <v>1088.6666666666667</v>
      </c>
      <c r="H508" s="4">
        <f>yt_sports_channels_stats[[#This Row],[subscriber_count]]/yt_sports_channels_stats[[#This Row],[view_count]]</f>
        <v>5.2051439069197795E-3</v>
      </c>
      <c r="I508">
        <v>17</v>
      </c>
    </row>
    <row r="509" spans="1:9" x14ac:dyDescent="0.25">
      <c r="A509" t="s">
        <v>457</v>
      </c>
      <c r="B509" s="1">
        <v>45042</v>
      </c>
      <c r="C509">
        <f>YEAR(yt_sports_channels_stats[[#This Row],[Start Date]])</f>
        <v>2023</v>
      </c>
      <c r="D509" s="1" t="str">
        <f>IF(YEAR(yt_sports_channels_stats[[#This Row],[Start Date]])&lt;2011,"Old Gen",IF(AND(YEAR(yt_sports_channels_stats[[#This Row],[Start Date]]&gt;2011),YEAR(yt_sports_channels_stats[[#This Row],[Start Date]])&lt;2020),"Mid Gen","New Gen"))</f>
        <v>New Gen</v>
      </c>
      <c r="E509">
        <v>5</v>
      </c>
      <c r="F509">
        <v>96</v>
      </c>
      <c r="G509">
        <f>yt_sports_channels_stats[[#This Row],[view_count]]/yt_sports_channels_stats[[#This Row],[video_count]]</f>
        <v>19.2</v>
      </c>
      <c r="H509" s="4">
        <f>yt_sports_channels_stats[[#This Row],[subscriber_count]]/yt_sports_channels_stats[[#This Row],[view_count]]</f>
        <v>0.23958333333333334</v>
      </c>
      <c r="I509">
        <v>23</v>
      </c>
    </row>
    <row r="510" spans="1:9" x14ac:dyDescent="0.25">
      <c r="A510" t="s">
        <v>458</v>
      </c>
      <c r="B510" s="1">
        <v>45111</v>
      </c>
      <c r="C510">
        <f>YEAR(yt_sports_channels_stats[[#This Row],[Start Date]])</f>
        <v>2023</v>
      </c>
      <c r="D510" s="1" t="str">
        <f>IF(YEAR(yt_sports_channels_stats[[#This Row],[Start Date]])&lt;2011,"Old Gen",IF(AND(YEAR(yt_sports_channels_stats[[#This Row],[Start Date]]&gt;2011),YEAR(yt_sports_channels_stats[[#This Row],[Start Date]])&lt;2020),"Mid Gen","New Gen"))</f>
        <v>New Gen</v>
      </c>
      <c r="E510">
        <v>2</v>
      </c>
      <c r="F510">
        <v>30</v>
      </c>
      <c r="G510">
        <f>yt_sports_channels_stats[[#This Row],[view_count]]/yt_sports_channels_stats[[#This Row],[video_count]]</f>
        <v>15</v>
      </c>
      <c r="H510" s="4">
        <f>yt_sports_channels_stats[[#This Row],[subscriber_count]]/yt_sports_channels_stats[[#This Row],[view_count]]</f>
        <v>3.3333333333333333E-2</v>
      </c>
      <c r="I510">
        <v>1</v>
      </c>
    </row>
    <row r="511" spans="1:9" x14ac:dyDescent="0.25">
      <c r="A511" t="s">
        <v>459</v>
      </c>
      <c r="B511" s="1">
        <v>44995</v>
      </c>
      <c r="C511">
        <f>YEAR(yt_sports_channels_stats[[#This Row],[Start Date]])</f>
        <v>2023</v>
      </c>
      <c r="D511" s="1" t="str">
        <f>IF(YEAR(yt_sports_channels_stats[[#This Row],[Start Date]])&lt;2011,"Old Gen",IF(AND(YEAR(yt_sports_channels_stats[[#This Row],[Start Date]]&gt;2011),YEAR(yt_sports_channels_stats[[#This Row],[Start Date]])&lt;2020),"Mid Gen","New Gen"))</f>
        <v>New Gen</v>
      </c>
      <c r="E511">
        <v>3</v>
      </c>
      <c r="F511">
        <v>336</v>
      </c>
      <c r="G511">
        <f>yt_sports_channels_stats[[#This Row],[view_count]]/yt_sports_channels_stats[[#This Row],[video_count]]</f>
        <v>112</v>
      </c>
      <c r="H511" s="4">
        <f>yt_sports_channels_stats[[#This Row],[subscriber_count]]/yt_sports_channels_stats[[#This Row],[view_count]]</f>
        <v>2.976190476190476E-3</v>
      </c>
      <c r="I511">
        <v>1</v>
      </c>
    </row>
    <row r="512" spans="1:9" x14ac:dyDescent="0.25">
      <c r="A512" t="s">
        <v>460</v>
      </c>
      <c r="B512" s="1">
        <v>45147</v>
      </c>
      <c r="C512">
        <f>YEAR(yt_sports_channels_stats[[#This Row],[Start Date]])</f>
        <v>2023</v>
      </c>
      <c r="D512" s="1" t="str">
        <f>IF(YEAR(yt_sports_channels_stats[[#This Row],[Start Date]])&lt;2011,"Old Gen",IF(AND(YEAR(yt_sports_channels_stats[[#This Row],[Start Date]]&gt;2011),YEAR(yt_sports_channels_stats[[#This Row],[Start Date]])&lt;2020),"Mid Gen","New Gen"))</f>
        <v>New Gen</v>
      </c>
      <c r="E512">
        <v>10</v>
      </c>
      <c r="F512">
        <v>149</v>
      </c>
      <c r="G512">
        <f>yt_sports_channels_stats[[#This Row],[view_count]]/yt_sports_channels_stats[[#This Row],[video_count]]</f>
        <v>14.9</v>
      </c>
      <c r="H512" s="4">
        <f>yt_sports_channels_stats[[#This Row],[subscriber_count]]/yt_sports_channels_stats[[#This Row],[view_count]]</f>
        <v>7.3825503355704702E-2</v>
      </c>
      <c r="I512">
        <v>11</v>
      </c>
    </row>
    <row r="513" spans="1:9" x14ac:dyDescent="0.25">
      <c r="A513" t="s">
        <v>461</v>
      </c>
      <c r="B513" s="1">
        <v>44065</v>
      </c>
      <c r="C513">
        <f>YEAR(yt_sports_channels_stats[[#This Row],[Start Date]])</f>
        <v>2020</v>
      </c>
      <c r="D513" s="1" t="str">
        <f>IF(YEAR(yt_sports_channels_stats[[#This Row],[Start Date]])&lt;2011,"Old Gen",IF(AND(YEAR(yt_sports_channels_stats[[#This Row],[Start Date]]&gt;2011),YEAR(yt_sports_channels_stats[[#This Row],[Start Date]])&lt;2020),"Mid Gen","New Gen"))</f>
        <v>New Gen</v>
      </c>
      <c r="E513">
        <v>4</v>
      </c>
      <c r="F513">
        <v>272</v>
      </c>
      <c r="G513">
        <f>yt_sports_channels_stats[[#This Row],[view_count]]/yt_sports_channels_stats[[#This Row],[video_count]]</f>
        <v>68</v>
      </c>
      <c r="H513" s="4">
        <f>yt_sports_channels_stats[[#This Row],[subscriber_count]]/yt_sports_channels_stats[[#This Row],[view_count]]</f>
        <v>0.15073529411764705</v>
      </c>
      <c r="I513">
        <v>41</v>
      </c>
    </row>
    <row r="514" spans="1:9" x14ac:dyDescent="0.25">
      <c r="A514" t="s">
        <v>462</v>
      </c>
      <c r="B514" s="1">
        <v>44978</v>
      </c>
      <c r="C514">
        <f>YEAR(yt_sports_channels_stats[[#This Row],[Start Date]])</f>
        <v>2023</v>
      </c>
      <c r="D514" s="1" t="str">
        <f>IF(YEAR(yt_sports_channels_stats[[#This Row],[Start Date]])&lt;2011,"Old Gen",IF(AND(YEAR(yt_sports_channels_stats[[#This Row],[Start Date]]&gt;2011),YEAR(yt_sports_channels_stats[[#This Row],[Start Date]])&lt;2020),"Mid Gen","New Gen"))</f>
        <v>New Gen</v>
      </c>
      <c r="E514">
        <v>75</v>
      </c>
      <c r="F514">
        <v>8793</v>
      </c>
      <c r="G514">
        <f>yt_sports_channels_stats[[#This Row],[view_count]]/yt_sports_channels_stats[[#This Row],[video_count]]</f>
        <v>117.24</v>
      </c>
      <c r="H514" s="4">
        <f>yt_sports_channels_stats[[#This Row],[subscriber_count]]/yt_sports_channels_stats[[#This Row],[view_count]]</f>
        <v>3.4118048447628795E-3</v>
      </c>
      <c r="I514">
        <v>30</v>
      </c>
    </row>
    <row r="515" spans="1:9" x14ac:dyDescent="0.25">
      <c r="A515" t="s">
        <v>463</v>
      </c>
      <c r="B515" s="1">
        <v>43998</v>
      </c>
      <c r="C515">
        <f>YEAR(yt_sports_channels_stats[[#This Row],[Start Date]])</f>
        <v>2020</v>
      </c>
      <c r="D515" s="1" t="str">
        <f>IF(YEAR(yt_sports_channels_stats[[#This Row],[Start Date]])&lt;2011,"Old Gen",IF(AND(YEAR(yt_sports_channels_stats[[#This Row],[Start Date]]&gt;2011),YEAR(yt_sports_channels_stats[[#This Row],[Start Date]])&lt;2020),"Mid Gen","New Gen"))</f>
        <v>New Gen</v>
      </c>
      <c r="E515">
        <v>7</v>
      </c>
      <c r="F515">
        <v>242741</v>
      </c>
      <c r="G515">
        <f>yt_sports_channels_stats[[#This Row],[view_count]]/yt_sports_channels_stats[[#This Row],[video_count]]</f>
        <v>34677.285714285717</v>
      </c>
      <c r="H515" s="4">
        <f>yt_sports_channels_stats[[#This Row],[subscriber_count]]/yt_sports_channels_stats[[#This Row],[view_count]]</f>
        <v>2.4223349166395459E-3</v>
      </c>
      <c r="I515">
        <v>588</v>
      </c>
    </row>
    <row r="516" spans="1:9" x14ac:dyDescent="0.25">
      <c r="A516" t="s">
        <v>464</v>
      </c>
      <c r="B516" s="1">
        <v>45153</v>
      </c>
      <c r="C516">
        <f>YEAR(yt_sports_channels_stats[[#This Row],[Start Date]])</f>
        <v>2023</v>
      </c>
      <c r="D516" s="1" t="str">
        <f>IF(YEAR(yt_sports_channels_stats[[#This Row],[Start Date]])&lt;2011,"Old Gen",IF(AND(YEAR(yt_sports_channels_stats[[#This Row],[Start Date]]&gt;2011),YEAR(yt_sports_channels_stats[[#This Row],[Start Date]])&lt;2020),"Mid Gen","New Gen"))</f>
        <v>New Gen</v>
      </c>
      <c r="E516">
        <v>38</v>
      </c>
      <c r="F516">
        <v>15831</v>
      </c>
      <c r="G516">
        <f>yt_sports_channels_stats[[#This Row],[view_count]]/yt_sports_channels_stats[[#This Row],[video_count]]</f>
        <v>416.60526315789474</v>
      </c>
      <c r="H516" s="4">
        <f>yt_sports_channels_stats[[#This Row],[subscriber_count]]/yt_sports_channels_stats[[#This Row],[view_count]]</f>
        <v>4.7375402690922877E-3</v>
      </c>
      <c r="I516">
        <v>75</v>
      </c>
    </row>
    <row r="517" spans="1:9" x14ac:dyDescent="0.25">
      <c r="A517" t="s">
        <v>465</v>
      </c>
      <c r="B517" s="1">
        <v>44858</v>
      </c>
      <c r="C517">
        <f>YEAR(yt_sports_channels_stats[[#This Row],[Start Date]])</f>
        <v>2022</v>
      </c>
      <c r="D517" s="1" t="str">
        <f>IF(YEAR(yt_sports_channels_stats[[#This Row],[Start Date]])&lt;2011,"Old Gen",IF(AND(YEAR(yt_sports_channels_stats[[#This Row],[Start Date]]&gt;2011),YEAR(yt_sports_channels_stats[[#This Row],[Start Date]])&lt;2020),"Mid Gen","New Gen"))</f>
        <v>New Gen</v>
      </c>
      <c r="E517">
        <v>35</v>
      </c>
      <c r="F517">
        <v>2240</v>
      </c>
      <c r="G517">
        <f>yt_sports_channels_stats[[#This Row],[view_count]]/yt_sports_channels_stats[[#This Row],[video_count]]</f>
        <v>64</v>
      </c>
      <c r="H517" s="4">
        <f>yt_sports_channels_stats[[#This Row],[subscriber_count]]/yt_sports_channels_stats[[#This Row],[view_count]]</f>
        <v>3.1250000000000002E-3</v>
      </c>
      <c r="I517">
        <v>7</v>
      </c>
    </row>
    <row r="518" spans="1:9" x14ac:dyDescent="0.25">
      <c r="A518" t="s">
        <v>466</v>
      </c>
      <c r="B518" s="1">
        <v>45170</v>
      </c>
      <c r="C518">
        <f>YEAR(yt_sports_channels_stats[[#This Row],[Start Date]])</f>
        <v>2023</v>
      </c>
      <c r="D518" s="1" t="str">
        <f>IF(YEAR(yt_sports_channels_stats[[#This Row],[Start Date]])&lt;2011,"Old Gen",IF(AND(YEAR(yt_sports_channels_stats[[#This Row],[Start Date]]&gt;2011),YEAR(yt_sports_channels_stats[[#This Row],[Start Date]])&lt;2020),"Mid Gen","New Gen"))</f>
        <v>New Gen</v>
      </c>
      <c r="E518">
        <v>1</v>
      </c>
      <c r="F518">
        <v>111</v>
      </c>
      <c r="G518">
        <f>yt_sports_channels_stats[[#This Row],[view_count]]/yt_sports_channels_stats[[#This Row],[video_count]]</f>
        <v>111</v>
      </c>
      <c r="H518" s="4">
        <f>yt_sports_channels_stats[[#This Row],[subscriber_count]]/yt_sports_channels_stats[[#This Row],[view_count]]</f>
        <v>1.8018018018018018E-2</v>
      </c>
      <c r="I518">
        <v>2</v>
      </c>
    </row>
    <row r="519" spans="1:9" x14ac:dyDescent="0.25">
      <c r="A519" t="s">
        <v>467</v>
      </c>
      <c r="B519" s="1">
        <v>45354</v>
      </c>
      <c r="C519">
        <f>YEAR(yt_sports_channels_stats[[#This Row],[Start Date]])</f>
        <v>2024</v>
      </c>
      <c r="D519" s="1" t="str">
        <f>IF(YEAR(yt_sports_channels_stats[[#This Row],[Start Date]])&lt;2011,"Old Gen",IF(AND(YEAR(yt_sports_channels_stats[[#This Row],[Start Date]]&gt;2011),YEAR(yt_sports_channels_stats[[#This Row],[Start Date]])&lt;2020),"Mid Gen","New Gen"))</f>
        <v>New Gen</v>
      </c>
      <c r="E519">
        <v>1</v>
      </c>
      <c r="F519">
        <v>74</v>
      </c>
      <c r="G519">
        <f>yt_sports_channels_stats[[#This Row],[view_count]]/yt_sports_channels_stats[[#This Row],[video_count]]</f>
        <v>74</v>
      </c>
      <c r="H519" s="4">
        <f>yt_sports_channels_stats[[#This Row],[subscriber_count]]/yt_sports_channels_stats[[#This Row],[view_count]]</f>
        <v>9.45945945945946E-2</v>
      </c>
      <c r="I519">
        <v>7</v>
      </c>
    </row>
    <row r="520" spans="1:9" x14ac:dyDescent="0.25">
      <c r="A520" t="s">
        <v>500</v>
      </c>
      <c r="B520" s="1">
        <v>45301</v>
      </c>
      <c r="C520">
        <f>YEAR(yt_sports_channels_stats[[#This Row],[Start Date]])</f>
        <v>2024</v>
      </c>
      <c r="D520" s="1" t="str">
        <f>IF(YEAR(yt_sports_channels_stats[[#This Row],[Start Date]])&lt;2011,"Old Gen",IF(AND(YEAR(yt_sports_channels_stats[[#This Row],[Start Date]]&gt;2011),YEAR(yt_sports_channels_stats[[#This Row],[Start Date]])&lt;2020),"Mid Gen","New Gen"))</f>
        <v>New Gen</v>
      </c>
      <c r="E520">
        <v>3</v>
      </c>
      <c r="F520">
        <v>26</v>
      </c>
      <c r="G520">
        <f>yt_sports_channels_stats[[#This Row],[view_count]]/yt_sports_channels_stats[[#This Row],[video_count]]</f>
        <v>8.6666666666666661</v>
      </c>
      <c r="H520" s="4">
        <f>yt_sports_channels_stats[[#This Row],[subscriber_count]]/yt_sports_channels_stats[[#This Row],[view_count]]</f>
        <v>0.15384615384615385</v>
      </c>
      <c r="I520">
        <v>4</v>
      </c>
    </row>
    <row r="521" spans="1:9" x14ac:dyDescent="0.25">
      <c r="A521" t="s">
        <v>468</v>
      </c>
      <c r="B521" s="1">
        <v>45115</v>
      </c>
      <c r="C521">
        <f>YEAR(yt_sports_channels_stats[[#This Row],[Start Date]])</f>
        <v>2023</v>
      </c>
      <c r="D521" s="1" t="str">
        <f>IF(YEAR(yt_sports_channels_stats[[#This Row],[Start Date]])&lt;2011,"Old Gen",IF(AND(YEAR(yt_sports_channels_stats[[#This Row],[Start Date]]&gt;2011),YEAR(yt_sports_channels_stats[[#This Row],[Start Date]])&lt;2020),"Mid Gen","New Gen"))</f>
        <v>New Gen</v>
      </c>
      <c r="E521">
        <v>1</v>
      </c>
      <c r="F521">
        <v>8</v>
      </c>
      <c r="G521">
        <f>yt_sports_channels_stats[[#This Row],[view_count]]/yt_sports_channels_stats[[#This Row],[video_count]]</f>
        <v>8</v>
      </c>
      <c r="H521" s="4">
        <f>yt_sports_channels_stats[[#This Row],[subscriber_count]]/yt_sports_channels_stats[[#This Row],[view_count]]</f>
        <v>0.125</v>
      </c>
      <c r="I521">
        <v>1</v>
      </c>
    </row>
    <row r="522" spans="1:9" x14ac:dyDescent="0.25">
      <c r="A522" t="s">
        <v>469</v>
      </c>
      <c r="B522" s="1">
        <v>43207</v>
      </c>
      <c r="C522">
        <f>YEAR(yt_sports_channels_stats[[#This Row],[Start Date]])</f>
        <v>2018</v>
      </c>
      <c r="D522" s="1" t="str">
        <f>IF(YEAR(yt_sports_channels_stats[[#This Row],[Start Date]])&lt;2011,"Old Gen",IF(AND(YEAR(yt_sports_channels_stats[[#This Row],[Start Date]]&gt;2011),YEAR(yt_sports_channels_stats[[#This Row],[Start Date]])&lt;2020),"Mid Gen","New Gen"))</f>
        <v>Mid Gen</v>
      </c>
      <c r="E522">
        <v>28</v>
      </c>
      <c r="F522">
        <v>360400</v>
      </c>
      <c r="G522">
        <f>yt_sports_channels_stats[[#This Row],[view_count]]/yt_sports_channels_stats[[#This Row],[video_count]]</f>
        <v>12871.428571428571</v>
      </c>
      <c r="H522" s="4">
        <f>yt_sports_channels_stats[[#This Row],[subscriber_count]]/yt_sports_channels_stats[[#This Row],[view_count]]</f>
        <v>1.6870144284128745E-3</v>
      </c>
      <c r="I522">
        <v>608</v>
      </c>
    </row>
    <row r="523" spans="1:9" x14ac:dyDescent="0.25">
      <c r="A523" t="s">
        <v>470</v>
      </c>
      <c r="B523" s="1">
        <v>45205</v>
      </c>
      <c r="C523">
        <f>YEAR(yt_sports_channels_stats[[#This Row],[Start Date]])</f>
        <v>2023</v>
      </c>
      <c r="D523" s="1" t="str">
        <f>IF(YEAR(yt_sports_channels_stats[[#This Row],[Start Date]])&lt;2011,"Old Gen",IF(AND(YEAR(yt_sports_channels_stats[[#This Row],[Start Date]]&gt;2011),YEAR(yt_sports_channels_stats[[#This Row],[Start Date]])&lt;2020),"Mid Gen","New Gen"))</f>
        <v>New Gen</v>
      </c>
      <c r="E523">
        <v>47</v>
      </c>
      <c r="F523">
        <v>3049</v>
      </c>
      <c r="G523">
        <f>yt_sports_channels_stats[[#This Row],[view_count]]/yt_sports_channels_stats[[#This Row],[video_count]]</f>
        <v>64.872340425531917</v>
      </c>
      <c r="H523" s="4">
        <f>yt_sports_channels_stats[[#This Row],[subscriber_count]]/yt_sports_channels_stats[[#This Row],[view_count]]</f>
        <v>6.1331584125942931E-2</v>
      </c>
      <c r="I523">
        <v>187</v>
      </c>
    </row>
    <row r="524" spans="1:9" x14ac:dyDescent="0.25">
      <c r="A524" t="s">
        <v>471</v>
      </c>
      <c r="B524" s="1">
        <v>45142</v>
      </c>
      <c r="C524">
        <f>YEAR(yt_sports_channels_stats[[#This Row],[Start Date]])</f>
        <v>2023</v>
      </c>
      <c r="D524" s="1" t="str">
        <f>IF(YEAR(yt_sports_channels_stats[[#This Row],[Start Date]])&lt;2011,"Old Gen",IF(AND(YEAR(yt_sports_channels_stats[[#This Row],[Start Date]]&gt;2011),YEAR(yt_sports_channels_stats[[#This Row],[Start Date]])&lt;2020),"Mid Gen","New Gen"))</f>
        <v>New Gen</v>
      </c>
      <c r="E524">
        <v>69</v>
      </c>
      <c r="F524">
        <v>47514</v>
      </c>
      <c r="G524">
        <f>yt_sports_channels_stats[[#This Row],[view_count]]/yt_sports_channels_stats[[#This Row],[video_count]]</f>
        <v>688.60869565217388</v>
      </c>
      <c r="H524" s="4">
        <f>yt_sports_channels_stats[[#This Row],[subscriber_count]]/yt_sports_channels_stats[[#This Row],[view_count]]</f>
        <v>1.8520857010565308E-3</v>
      </c>
      <c r="I524">
        <v>88</v>
      </c>
    </row>
    <row r="525" spans="1:9" x14ac:dyDescent="0.25">
      <c r="A525" t="s">
        <v>472</v>
      </c>
      <c r="B525" s="1">
        <v>45105</v>
      </c>
      <c r="C525">
        <f>YEAR(yt_sports_channels_stats[[#This Row],[Start Date]])</f>
        <v>2023</v>
      </c>
      <c r="D525" s="1" t="str">
        <f>IF(YEAR(yt_sports_channels_stats[[#This Row],[Start Date]])&lt;2011,"Old Gen",IF(AND(YEAR(yt_sports_channels_stats[[#This Row],[Start Date]]&gt;2011),YEAR(yt_sports_channels_stats[[#This Row],[Start Date]])&lt;2020),"Mid Gen","New Gen"))</f>
        <v>New Gen</v>
      </c>
      <c r="E525">
        <v>5</v>
      </c>
      <c r="F525">
        <v>22</v>
      </c>
      <c r="G525">
        <f>yt_sports_channels_stats[[#This Row],[view_count]]/yt_sports_channels_stats[[#This Row],[video_count]]</f>
        <v>4.4000000000000004</v>
      </c>
      <c r="H525" s="4">
        <f>yt_sports_channels_stats[[#This Row],[subscriber_count]]/yt_sports_channels_stats[[#This Row],[view_count]]</f>
        <v>0.31818181818181818</v>
      </c>
      <c r="I525">
        <v>7</v>
      </c>
    </row>
    <row r="526" spans="1:9" x14ac:dyDescent="0.25">
      <c r="A526" t="s">
        <v>473</v>
      </c>
      <c r="B526" s="1">
        <v>45185</v>
      </c>
      <c r="C526">
        <f>YEAR(yt_sports_channels_stats[[#This Row],[Start Date]])</f>
        <v>2023</v>
      </c>
      <c r="D526" s="1" t="str">
        <f>IF(YEAR(yt_sports_channels_stats[[#This Row],[Start Date]])&lt;2011,"Old Gen",IF(AND(YEAR(yt_sports_channels_stats[[#This Row],[Start Date]]&gt;2011),YEAR(yt_sports_channels_stats[[#This Row],[Start Date]])&lt;2020),"Mid Gen","New Gen"))</f>
        <v>New Gen</v>
      </c>
      <c r="E526">
        <v>3</v>
      </c>
      <c r="F526">
        <v>49</v>
      </c>
      <c r="G526">
        <f>yt_sports_channels_stats[[#This Row],[view_count]]/yt_sports_channels_stats[[#This Row],[video_count]]</f>
        <v>16.333333333333332</v>
      </c>
      <c r="H526" s="4">
        <f>yt_sports_channels_stats[[#This Row],[subscriber_count]]/yt_sports_channels_stats[[#This Row],[view_count]]</f>
        <v>8.1632653061224483E-2</v>
      </c>
      <c r="I526">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826F3-770F-4863-AB72-FEFAEDA2FC73}">
  <dimension ref="A1:B122"/>
  <sheetViews>
    <sheetView topLeftCell="A94" workbookViewId="0">
      <selection activeCell="G120" sqref="G120"/>
    </sheetView>
  </sheetViews>
  <sheetFormatPr defaultRowHeight="15" x14ac:dyDescent="0.25"/>
  <cols>
    <col min="1" max="1" width="24.28515625" bestFit="1" customWidth="1"/>
    <col min="2" max="2" width="27.140625" bestFit="1" customWidth="1"/>
    <col min="3" max="3" width="19.140625" bestFit="1" customWidth="1"/>
    <col min="4" max="4" width="24.140625" bestFit="1" customWidth="1"/>
    <col min="5" max="5" width="11.140625" bestFit="1" customWidth="1"/>
    <col min="6" max="6" width="24.5703125" customWidth="1"/>
    <col min="7" max="7" width="24.140625" bestFit="1" customWidth="1"/>
    <col min="8" max="8" width="11.7109375" bestFit="1" customWidth="1"/>
    <col min="11" max="11" width="13.42578125" bestFit="1" customWidth="1"/>
    <col min="12" max="12" width="22.28515625" bestFit="1" customWidth="1"/>
    <col min="13" max="13" width="21.42578125" bestFit="1" customWidth="1"/>
    <col min="14" max="14" width="27" bestFit="1" customWidth="1"/>
  </cols>
  <sheetData>
    <row r="1" spans="1:2" x14ac:dyDescent="0.25">
      <c r="A1" s="2" t="s">
        <v>513</v>
      </c>
      <c r="B1" t="s">
        <v>514</v>
      </c>
    </row>
    <row r="2" spans="1:2" x14ac:dyDescent="0.25">
      <c r="A2" s="3">
        <v>2005</v>
      </c>
      <c r="B2">
        <v>1</v>
      </c>
    </row>
    <row r="3" spans="1:2" x14ac:dyDescent="0.25">
      <c r="A3" s="3">
        <v>2006</v>
      </c>
      <c r="B3">
        <v>6</v>
      </c>
    </row>
    <row r="4" spans="1:2" x14ac:dyDescent="0.25">
      <c r="A4" s="3">
        <v>2007</v>
      </c>
      <c r="B4">
        <v>4</v>
      </c>
    </row>
    <row r="5" spans="1:2" x14ac:dyDescent="0.25">
      <c r="A5" s="3">
        <v>2008</v>
      </c>
      <c r="B5">
        <v>3</v>
      </c>
    </row>
    <row r="6" spans="1:2" x14ac:dyDescent="0.25">
      <c r="A6" s="3">
        <v>2009</v>
      </c>
      <c r="B6">
        <v>9</v>
      </c>
    </row>
    <row r="7" spans="1:2" x14ac:dyDescent="0.25">
      <c r="A7" s="3">
        <v>2010</v>
      </c>
      <c r="B7">
        <v>7</v>
      </c>
    </row>
    <row r="8" spans="1:2" x14ac:dyDescent="0.25">
      <c r="A8" s="3">
        <v>2011</v>
      </c>
      <c r="B8">
        <v>9</v>
      </c>
    </row>
    <row r="9" spans="1:2" x14ac:dyDescent="0.25">
      <c r="A9" s="3">
        <v>2012</v>
      </c>
      <c r="B9">
        <v>12</v>
      </c>
    </row>
    <row r="10" spans="1:2" x14ac:dyDescent="0.25">
      <c r="A10" s="3">
        <v>2013</v>
      </c>
      <c r="B10">
        <v>25</v>
      </c>
    </row>
    <row r="11" spans="1:2" x14ac:dyDescent="0.25">
      <c r="A11" s="3">
        <v>2014</v>
      </c>
      <c r="B11">
        <v>21</v>
      </c>
    </row>
    <row r="12" spans="1:2" x14ac:dyDescent="0.25">
      <c r="A12" s="3">
        <v>2015</v>
      </c>
      <c r="B12">
        <v>15</v>
      </c>
    </row>
    <row r="13" spans="1:2" x14ac:dyDescent="0.25">
      <c r="A13" s="3">
        <v>2016</v>
      </c>
      <c r="B13">
        <v>35</v>
      </c>
    </row>
    <row r="14" spans="1:2" x14ac:dyDescent="0.25">
      <c r="A14" s="3">
        <v>2017</v>
      </c>
      <c r="B14">
        <v>36</v>
      </c>
    </row>
    <row r="15" spans="1:2" x14ac:dyDescent="0.25">
      <c r="A15" s="3">
        <v>2018</v>
      </c>
      <c r="B15">
        <v>28</v>
      </c>
    </row>
    <row r="16" spans="1:2" x14ac:dyDescent="0.25">
      <c r="A16" s="3">
        <v>2019</v>
      </c>
      <c r="B16">
        <v>32</v>
      </c>
    </row>
    <row r="17" spans="1:2" x14ac:dyDescent="0.25">
      <c r="A17" s="3">
        <v>2020</v>
      </c>
      <c r="B17">
        <v>49</v>
      </c>
    </row>
    <row r="18" spans="1:2" x14ac:dyDescent="0.25">
      <c r="A18" s="3">
        <v>2021</v>
      </c>
      <c r="B18">
        <v>47</v>
      </c>
    </row>
    <row r="19" spans="1:2" x14ac:dyDescent="0.25">
      <c r="A19" s="3">
        <v>2022</v>
      </c>
      <c r="B19">
        <v>56</v>
      </c>
    </row>
    <row r="20" spans="1:2" x14ac:dyDescent="0.25">
      <c r="A20" s="3">
        <v>2023</v>
      </c>
      <c r="B20">
        <v>112</v>
      </c>
    </row>
    <row r="21" spans="1:2" x14ac:dyDescent="0.25">
      <c r="A21" s="3">
        <v>2024</v>
      </c>
      <c r="B21">
        <v>18</v>
      </c>
    </row>
    <row r="23" spans="1:2" x14ac:dyDescent="0.25">
      <c r="A23" s="2" t="s">
        <v>513</v>
      </c>
      <c r="B23" t="s">
        <v>513</v>
      </c>
    </row>
    <row r="24" spans="1:2" x14ac:dyDescent="0.25">
      <c r="A24" s="3" t="s">
        <v>507</v>
      </c>
      <c r="B24">
        <v>213</v>
      </c>
    </row>
    <row r="25" spans="1:2" x14ac:dyDescent="0.25">
      <c r="A25" s="3" t="s">
        <v>506</v>
      </c>
      <c r="B25">
        <v>282</v>
      </c>
    </row>
    <row r="26" spans="1:2" x14ac:dyDescent="0.25">
      <c r="A26" s="3" t="s">
        <v>509</v>
      </c>
      <c r="B26">
        <v>30</v>
      </c>
    </row>
    <row r="27" spans="1:2" x14ac:dyDescent="0.25">
      <c r="A27" s="3" t="s">
        <v>503</v>
      </c>
      <c r="B27">
        <v>525</v>
      </c>
    </row>
    <row r="37" spans="1:2" x14ac:dyDescent="0.25">
      <c r="A37" s="2" t="s">
        <v>501</v>
      </c>
      <c r="B37" t="s">
        <v>515</v>
      </c>
    </row>
    <row r="38" spans="1:2" x14ac:dyDescent="0.25">
      <c r="A38" s="3" t="s">
        <v>507</v>
      </c>
      <c r="B38" s="4">
        <v>532688.74647887319</v>
      </c>
    </row>
    <row r="39" spans="1:2" x14ac:dyDescent="0.25">
      <c r="A39" s="3" t="s">
        <v>506</v>
      </c>
      <c r="B39" s="4">
        <v>64522.482269503547</v>
      </c>
    </row>
    <row r="40" spans="1:2" x14ac:dyDescent="0.25">
      <c r="A40" s="3" t="s">
        <v>509</v>
      </c>
      <c r="B40" s="4">
        <v>1661139</v>
      </c>
    </row>
    <row r="50" spans="1:2" x14ac:dyDescent="0.25">
      <c r="A50" s="2" t="s">
        <v>501</v>
      </c>
      <c r="B50" t="s">
        <v>516</v>
      </c>
    </row>
    <row r="51" spans="1:2" x14ac:dyDescent="0.25">
      <c r="A51" s="3" t="s">
        <v>507</v>
      </c>
      <c r="B51">
        <v>225745912.96713614</v>
      </c>
    </row>
    <row r="52" spans="1:2" x14ac:dyDescent="0.25">
      <c r="A52" s="3" t="s">
        <v>506</v>
      </c>
      <c r="B52">
        <v>27686527.741134752</v>
      </c>
    </row>
    <row r="53" spans="1:2" x14ac:dyDescent="0.25">
      <c r="A53" s="3" t="s">
        <v>509</v>
      </c>
      <c r="B53">
        <v>573455518</v>
      </c>
    </row>
    <row r="54" spans="1:2" x14ac:dyDescent="0.25">
      <c r="A54" s="3" t="s">
        <v>503</v>
      </c>
      <c r="B54">
        <v>139228849.19047618</v>
      </c>
    </row>
    <row r="60" spans="1:2" x14ac:dyDescent="0.25">
      <c r="A60" s="2" t="s">
        <v>517</v>
      </c>
      <c r="B60" t="s">
        <v>505</v>
      </c>
    </row>
    <row r="61" spans="1:2" x14ac:dyDescent="0.25">
      <c r="A61" s="3" t="s">
        <v>157</v>
      </c>
      <c r="B61" s="9">
        <v>4680000</v>
      </c>
    </row>
    <row r="62" spans="1:2" x14ac:dyDescent="0.25">
      <c r="A62" s="3" t="s">
        <v>45</v>
      </c>
      <c r="B62" s="9">
        <v>4720000</v>
      </c>
    </row>
    <row r="63" spans="1:2" x14ac:dyDescent="0.25">
      <c r="A63" s="3" t="s">
        <v>7</v>
      </c>
      <c r="B63" s="9">
        <v>4830000</v>
      </c>
    </row>
    <row r="64" spans="1:2" x14ac:dyDescent="0.25">
      <c r="A64" s="3" t="s">
        <v>127</v>
      </c>
      <c r="B64" s="9">
        <v>5100000</v>
      </c>
    </row>
    <row r="65" spans="1:2" x14ac:dyDescent="0.25">
      <c r="A65" s="3" t="s">
        <v>10</v>
      </c>
      <c r="B65" s="9">
        <v>5280000</v>
      </c>
    </row>
    <row r="66" spans="1:2" x14ac:dyDescent="0.25">
      <c r="A66" s="3" t="s">
        <v>60</v>
      </c>
      <c r="B66" s="9">
        <v>7210000</v>
      </c>
    </row>
    <row r="67" spans="1:2" x14ac:dyDescent="0.25">
      <c r="A67" s="3" t="s">
        <v>84</v>
      </c>
      <c r="B67" s="9">
        <v>9200000</v>
      </c>
    </row>
    <row r="68" spans="1:2" x14ac:dyDescent="0.25">
      <c r="A68" s="3" t="s">
        <v>32</v>
      </c>
      <c r="B68" s="9">
        <v>9970000</v>
      </c>
    </row>
    <row r="69" spans="1:2" x14ac:dyDescent="0.25">
      <c r="A69" s="3" t="s">
        <v>24</v>
      </c>
      <c r="B69" s="9">
        <v>10700000</v>
      </c>
    </row>
    <row r="70" spans="1:2" x14ac:dyDescent="0.25">
      <c r="A70" s="3" t="s">
        <v>9</v>
      </c>
      <c r="B70" s="9">
        <v>11200000</v>
      </c>
    </row>
    <row r="75" spans="1:2" x14ac:dyDescent="0.25">
      <c r="A75" s="2" t="s">
        <v>513</v>
      </c>
      <c r="B75" t="s">
        <v>518</v>
      </c>
    </row>
    <row r="76" spans="1:2" x14ac:dyDescent="0.25">
      <c r="A76" s="3" t="s">
        <v>259</v>
      </c>
      <c r="B76" s="9">
        <v>1873071275</v>
      </c>
    </row>
    <row r="77" spans="1:2" x14ac:dyDescent="0.25">
      <c r="A77" s="3" t="s">
        <v>109</v>
      </c>
      <c r="B77" s="9">
        <v>2039718299</v>
      </c>
    </row>
    <row r="78" spans="1:2" x14ac:dyDescent="0.25">
      <c r="A78" s="3" t="s">
        <v>12</v>
      </c>
      <c r="B78" s="9">
        <v>2460868921</v>
      </c>
    </row>
    <row r="79" spans="1:2" x14ac:dyDescent="0.25">
      <c r="A79" s="3" t="s">
        <v>24</v>
      </c>
      <c r="B79" s="9">
        <v>2661398591</v>
      </c>
    </row>
    <row r="80" spans="1:2" x14ac:dyDescent="0.25">
      <c r="A80" s="3" t="s">
        <v>60</v>
      </c>
      <c r="B80" s="9">
        <v>2701624691</v>
      </c>
    </row>
    <row r="81" spans="1:2" x14ac:dyDescent="0.25">
      <c r="A81" s="3" t="s">
        <v>45</v>
      </c>
      <c r="B81" s="9">
        <v>2815015958</v>
      </c>
    </row>
    <row r="82" spans="1:2" x14ac:dyDescent="0.25">
      <c r="A82" s="3" t="s">
        <v>32</v>
      </c>
      <c r="B82" s="9">
        <v>3020014777</v>
      </c>
    </row>
    <row r="83" spans="1:2" x14ac:dyDescent="0.25">
      <c r="A83" s="3" t="s">
        <v>203</v>
      </c>
      <c r="B83" s="9">
        <v>3193685742</v>
      </c>
    </row>
    <row r="84" spans="1:2" x14ac:dyDescent="0.25">
      <c r="A84" s="3" t="s">
        <v>10</v>
      </c>
      <c r="B84" s="9">
        <v>3481324860</v>
      </c>
    </row>
    <row r="85" spans="1:2" x14ac:dyDescent="0.25">
      <c r="A85" s="3" t="s">
        <v>7</v>
      </c>
      <c r="B85" s="9">
        <v>3898162997</v>
      </c>
    </row>
    <row r="90" spans="1:2" ht="15.75" customHeight="1" x14ac:dyDescent="0.25"/>
    <row r="96" spans="1:2" x14ac:dyDescent="0.25">
      <c r="A96" s="2" t="s">
        <v>513</v>
      </c>
      <c r="B96" t="s">
        <v>521</v>
      </c>
    </row>
    <row r="97" spans="1:2" x14ac:dyDescent="0.25">
      <c r="A97" s="3" t="s">
        <v>472</v>
      </c>
      <c r="B97" s="4">
        <v>0.31818181818181818</v>
      </c>
    </row>
    <row r="98" spans="1:2" x14ac:dyDescent="0.25">
      <c r="A98" s="3" t="s">
        <v>409</v>
      </c>
      <c r="B98" s="4">
        <v>0.35537190082644626</v>
      </c>
    </row>
    <row r="99" spans="1:2" x14ac:dyDescent="0.25">
      <c r="A99" s="3" t="s">
        <v>401</v>
      </c>
      <c r="B99" s="4">
        <v>0.4</v>
      </c>
    </row>
    <row r="100" spans="1:2" x14ac:dyDescent="0.25">
      <c r="A100" s="3" t="s">
        <v>346</v>
      </c>
      <c r="B100" s="4">
        <v>0.5</v>
      </c>
    </row>
    <row r="101" spans="1:2" x14ac:dyDescent="0.25">
      <c r="A101" s="3" t="s">
        <v>446</v>
      </c>
      <c r="B101" s="4">
        <v>0.58789625360230546</v>
      </c>
    </row>
    <row r="102" spans="1:2" x14ac:dyDescent="0.25">
      <c r="A102" s="3" t="s">
        <v>443</v>
      </c>
      <c r="B102" s="4">
        <v>0.66666666666666663</v>
      </c>
    </row>
    <row r="103" spans="1:2" x14ac:dyDescent="0.25">
      <c r="A103" s="3" t="s">
        <v>324</v>
      </c>
      <c r="B103" s="4">
        <v>1</v>
      </c>
    </row>
    <row r="104" spans="1:2" x14ac:dyDescent="0.25">
      <c r="A104" s="3" t="s">
        <v>387</v>
      </c>
      <c r="B104" s="4">
        <v>2.5075376884422109</v>
      </c>
    </row>
    <row r="105" spans="1:2" x14ac:dyDescent="0.25">
      <c r="A105" s="3" t="s">
        <v>315</v>
      </c>
      <c r="B105" s="4">
        <v>2.7084531339850488</v>
      </c>
    </row>
    <row r="106" spans="1:2" x14ac:dyDescent="0.25">
      <c r="A106" s="3" t="s">
        <v>403</v>
      </c>
      <c r="B106" s="4">
        <v>3.4</v>
      </c>
    </row>
    <row r="112" spans="1:2" x14ac:dyDescent="0.25">
      <c r="A112" s="2" t="s">
        <v>513</v>
      </c>
      <c r="B112" t="s">
        <v>522</v>
      </c>
    </row>
    <row r="113" spans="1:2" x14ac:dyDescent="0.25">
      <c r="A113" s="3" t="s">
        <v>138</v>
      </c>
      <c r="B113" s="4">
        <v>439224.69322569325</v>
      </c>
    </row>
    <row r="114" spans="1:2" x14ac:dyDescent="0.25">
      <c r="A114" s="3" t="s">
        <v>84</v>
      </c>
      <c r="B114" s="4">
        <v>481018.58155339805</v>
      </c>
    </row>
    <row r="115" spans="1:2" x14ac:dyDescent="0.25">
      <c r="A115" s="3" t="s">
        <v>59</v>
      </c>
      <c r="B115" s="4">
        <v>500240.17179023509</v>
      </c>
    </row>
    <row r="116" spans="1:2" x14ac:dyDescent="0.25">
      <c r="A116" s="3" t="s">
        <v>238</v>
      </c>
      <c r="B116" s="4">
        <v>754901.57627118647</v>
      </c>
    </row>
    <row r="117" spans="1:2" x14ac:dyDescent="0.25">
      <c r="A117" s="3" t="s">
        <v>89</v>
      </c>
      <c r="B117" s="4">
        <v>877102.9339622641</v>
      </c>
    </row>
    <row r="118" spans="1:2" x14ac:dyDescent="0.25">
      <c r="A118" s="3" t="s">
        <v>47</v>
      </c>
      <c r="B118" s="4">
        <v>930074.91358024697</v>
      </c>
    </row>
    <row r="119" spans="1:2" x14ac:dyDescent="0.25">
      <c r="A119" s="3" t="s">
        <v>80</v>
      </c>
      <c r="B119" s="4">
        <v>973285.42814814812</v>
      </c>
    </row>
    <row r="120" spans="1:2" x14ac:dyDescent="0.25">
      <c r="A120" s="3" t="s">
        <v>127</v>
      </c>
      <c r="B120" s="4">
        <v>1095289.5956151036</v>
      </c>
    </row>
    <row r="121" spans="1:2" x14ac:dyDescent="0.25">
      <c r="A121" s="3" t="s">
        <v>175</v>
      </c>
      <c r="B121" s="4">
        <v>1147220.2337962964</v>
      </c>
    </row>
    <row r="122" spans="1:2" x14ac:dyDescent="0.25">
      <c r="A122" s="3" t="s">
        <v>131</v>
      </c>
      <c r="B122" s="4">
        <v>2114248.826923077</v>
      </c>
    </row>
  </sheetData>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2D96A0-E81B-4DB1-8C14-568896DAED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yt_sports_channels_stats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Musaiyab Sheikh</dc:creator>
  <cp:lastModifiedBy>Musaiyab Sheikh</cp:lastModifiedBy>
  <dcterms:created xsi:type="dcterms:W3CDTF">2026-03-05T10:01:26Z</dcterms:created>
  <dcterms:modified xsi:type="dcterms:W3CDTF">2026-03-06T10:45:08Z</dcterms:modified>
</cp:coreProperties>
</file>